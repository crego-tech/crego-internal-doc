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ase Overview" sheetId="1" state="visible" r:id="rId3"/>
    <sheet name="Issue Tracker" sheetId="2" state="visible" r:id="rId4"/>
    <sheet name="Release Checklist" sheetId="3" state="visible" r:id="rId5"/>
    <sheet name="Timeline" sheetId="4" state="visible" r:id="rId6"/>
    <sheet name="Risk Register" sheetId="5" state="visible" r:id="rId7"/>
  </sheets>
  <definedNames>
    <definedName function="false" hidden="true" localSheetId="1" name="_xlnm._FilterDatabase" vbProcedure="false">'Issue Tracker'!$A$1:$J$1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<sst xmlns="http://schemas.openxmlformats.org/spreadsheetml/2006/main" count="1171" uniqueCount="470">
  <si>
    <t xml:space="preserve">CREGO v2.3.0 RELEASE PLAN</t>
  </si>
  <si>
    <t xml:space="preserve">Scoped from Cycle 160 (Feb 16–22, 2026)</t>
  </si>
  <si>
    <t xml:space="preserve">Release Version</t>
  </si>
  <si>
    <t xml:space="preserve">v2.3.0</t>
  </si>
  <si>
    <t xml:space="preserve">Previous Release</t>
  </si>
  <si>
    <t xml:space="preserve">v2.2.0 (Released: 15 Feb 2026)</t>
  </si>
  <si>
    <t xml:space="preserve">Current Cycle</t>
  </si>
  <si>
    <t xml:space="preserve">Cycle 160 (Feb 16–22, 2026)</t>
  </si>
  <si>
    <t xml:space="preserve">Target Release Branch Cut</t>
  </si>
  <si>
    <t xml:space="preserve">28 Feb 2026 (end of Cycle 161)</t>
  </si>
  <si>
    <t xml:space="preserve">Target UAT Start</t>
  </si>
  <si>
    <t xml:space="preserve">1 Mar 2026</t>
  </si>
  <si>
    <t xml:space="preserve">Target Prod Deploy</t>
  </si>
  <si>
    <t xml:space="preserve">7 Mar 2026</t>
  </si>
  <si>
    <t xml:space="preserve">Release Manager</t>
  </si>
  <si>
    <t xml:space="preserve">(TBD)</t>
  </si>
  <si>
    <t xml:space="preserve">Repos</t>
  </si>
  <si>
    <t xml:space="preserve">crego-omni, crego-web, crego-flow, crego-infra</t>
  </si>
  <si>
    <t xml:space="preserve">Release Type</t>
  </si>
  <si>
    <t xml:space="preserve">Feature Release</t>
  </si>
  <si>
    <t xml:space="preserve">CYCLE 160 SUMMARY</t>
  </si>
  <si>
    <t xml:space="preserve">Total Issues</t>
  </si>
  <si>
    <t xml:space="preserve">93</t>
  </si>
  <si>
    <t xml:space="preserve">Completed (Released + Pending Release)</t>
  </si>
  <si>
    <t xml:space="preserve">43 issues (58 pts)</t>
  </si>
  <si>
    <t xml:space="preserve">In QA</t>
  </si>
  <si>
    <t xml:space="preserve">16 issues</t>
  </si>
  <si>
    <t xml:space="preserve">In UAT</t>
  </si>
  <si>
    <t xml:space="preserve">6 issues</t>
  </si>
  <si>
    <t xml:space="preserve">In PR Review</t>
  </si>
  <si>
    <t xml:space="preserve">3 issues</t>
  </si>
  <si>
    <t xml:space="preserve">Still in Development</t>
  </si>
  <si>
    <t xml:space="preserve">13 issues</t>
  </si>
  <si>
    <t xml:space="preserve">In Todo</t>
  </si>
  <si>
    <t xml:space="preserve">8 issues</t>
  </si>
  <si>
    <t xml:space="preserve">Cancelled</t>
  </si>
  <si>
    <t xml:space="preserve">2 issues</t>
  </si>
  <si>
    <t xml:space="preserve">KEY RELEASE THEMES</t>
  </si>
  <si>
    <t xml:space="preserve">#</t>
  </si>
  <si>
    <t xml:space="preserve">Theme</t>
  </si>
  <si>
    <t xml:space="preserve">Key Issues</t>
  </si>
  <si>
    <t xml:space="preserve">Status</t>
  </si>
  <si>
    <t xml:space="preserve">1</t>
  </si>
  <si>
    <t xml:space="preserve">User Management &amp; Permissions</t>
  </si>
  <si>
    <t xml:space="preserve">CRE-4947, 4948, 4908, 4917, 4909, 4891, 4902, 4938, 4890</t>
  </si>
  <si>
    <t xml:space="preserve">Mostly in Pending Release / QA</t>
  </si>
  <si>
    <t xml:space="preserve">2</t>
  </si>
  <si>
    <t xml:space="preserve">GL Enhancements</t>
  </si>
  <si>
    <t xml:space="preserve">CRE-4831 (8pts), 4969, 4936, 4964, 4876</t>
  </si>
  <si>
    <t xml:space="preserve">QA / Development — high risk</t>
  </si>
  <si>
    <t xml:space="preserve">3</t>
  </si>
  <si>
    <t xml:space="preserve">Invoices &amp; SCF Module</t>
  </si>
  <si>
    <t xml:space="preserve">CRE-4822, 4924, 4925, 4926, 4927, 4868</t>
  </si>
  <si>
    <t xml:space="preserve">Mixed QA / PR Review</t>
  </si>
  <si>
    <t xml:space="preserve">4</t>
  </si>
  <si>
    <t xml:space="preserve">EOD &amp; Workflow</t>
  </si>
  <si>
    <t xml:space="preserve">CRE-4737, 4879, 4825, 4769, 4944</t>
  </si>
  <si>
    <t xml:space="preserve">Pending Release / QA</t>
  </si>
  <si>
    <t xml:space="preserve">5</t>
  </si>
  <si>
    <t xml:space="preserve">Foreclosure &amp; Transactions</t>
  </si>
  <si>
    <t xml:space="preserve">CRE-4815, 4949, 4955, 4957, 4880, 4816, 4878</t>
  </si>
  <si>
    <t xml:space="preserve">Mixed — urgent bugs in QA</t>
  </si>
  <si>
    <t xml:space="preserve">6</t>
  </si>
  <si>
    <t xml:space="preserve">Platform Stability &amp; VAPT</t>
  </si>
  <si>
    <t xml:space="preserve">CRE-4912, 4736, 4891, 4896, 4885</t>
  </si>
  <si>
    <t xml:space="preserve">Pending Release / Development</t>
  </si>
  <si>
    <t xml:space="preserve">7</t>
  </si>
  <si>
    <t xml:space="preserve">Vayana &amp; Client-Specific</t>
  </si>
  <si>
    <t xml:space="preserve">CRE-4649, 4811, 4970, 4831, 4530</t>
  </si>
  <si>
    <t xml:space="preserve">UAT / QA — external dependencies</t>
  </si>
  <si>
    <t xml:space="preserve">8</t>
  </si>
  <si>
    <t xml:space="preserve">DevOps &amp; Infra</t>
  </si>
  <si>
    <t xml:space="preserve">CRE-4745, 4871, 4885, 4932, 4933, 4934</t>
  </si>
  <si>
    <t xml:space="preserve">Development / Todo</t>
  </si>
  <si>
    <t xml:space="preserve">Issue ID</t>
  </si>
  <si>
    <t xml:space="preserve">Title</t>
  </si>
  <si>
    <t xml:space="preserve">Priority</t>
  </si>
  <si>
    <t xml:space="preserve">Assignee</t>
  </si>
  <si>
    <t xml:space="preserve">Repo</t>
  </si>
  <si>
    <t xml:space="preserve">Type</t>
  </si>
  <si>
    <t xml:space="preserve">Estimate</t>
  </si>
  <si>
    <t xml:space="preserve">Risk</t>
  </si>
  <si>
    <t xml:space="preserve">Notes</t>
  </si>
  <si>
    <t xml:space="preserve">Pending Release (37 issues — merged to develop, awaiting release)</t>
  </si>
  <si>
    <t xml:space="preserve">CRE-4969</t>
  </si>
  <si>
    <t xml:space="preserve">GL Mapping disable status bug</t>
  </si>
  <si>
    <t xml:space="preserve">Pending Release</t>
  </si>
  <si>
    <t xml:space="preserve">Urgent</t>
  </si>
  <si>
    <t xml:space="preserve">Somya Jain</t>
  </si>
  <si>
    <t xml:space="preserve">crego-omni</t>
  </si>
  <si>
    <t xml:space="preserve">bug</t>
  </si>
  <si>
    <t xml:space="preserve">-</t>
  </si>
  <si>
    <t xml:space="preserve">Low</t>
  </si>
  <si>
    <t xml:space="preserve">CRE-4945</t>
  </si>
  <si>
    <t xml:space="preserve">Store info not computed for runners</t>
  </si>
  <si>
    <t xml:space="preserve">Amit Sharma</t>
  </si>
  <si>
    <t xml:space="preserve">crego-flow</t>
  </si>
  <si>
    <t xml:space="preserve">CRE-4973</t>
  </si>
  <si>
    <t xml:space="preserve">Pass db_alias to OmniApiClient</t>
  </si>
  <si>
    <t xml:space="preserve">CRE-4970</t>
  </si>
  <si>
    <t xml:space="preserve">Vayana 100 document limit</t>
  </si>
  <si>
    <t xml:space="preserve">Hiten Kakwani</t>
  </si>
  <si>
    <t xml:space="preserve">hotfix</t>
  </si>
  <si>
    <t xml:space="preserve">CRE-4947</t>
  </si>
  <si>
    <t xml:space="preserve">Module permission enforcement</t>
  </si>
  <si>
    <t xml:space="preserve">crego-web</t>
  </si>
  <si>
    <t xml:space="preserve">CRE-4815</t>
  </si>
  <si>
    <t xml:space="preserve">Loan foreclosure Preview</t>
  </si>
  <si>
    <t xml:space="preserve">garima.a</t>
  </si>
  <si>
    <t xml:space="preserve">feature</t>
  </si>
  <si>
    <t xml:space="preserve">CRE-4902</t>
  </si>
  <si>
    <t xml:space="preserve">hasRole superuser check</t>
  </si>
  <si>
    <t xml:space="preserve">Raj Ankur</t>
  </si>
  <si>
    <t xml:space="preserve">CRE-4937</t>
  </si>
  <si>
    <t xml:space="preserve">app_settings in Branding</t>
  </si>
  <si>
    <t xml:space="preserve">CRE-4942</t>
  </si>
  <si>
    <t xml:space="preserve">app_settings in settings/auth init</t>
  </si>
  <si>
    <t xml:space="preserve">improvement</t>
  </si>
  <si>
    <t xml:space="preserve">CRE-4908</t>
  </si>
  <si>
    <t xml:space="preserve">Permission group codename fix</t>
  </si>
  <si>
    <t xml:space="preserve">CRE-4939</t>
  </si>
  <si>
    <t xml:space="preserve">Module redirect permission error</t>
  </si>
  <si>
    <t xml:space="preserve">CRE-4930</t>
  </si>
  <si>
    <t xml:space="preserve">Aspire payout processing 500</t>
  </si>
  <si>
    <t xml:space="preserve">CRE-4917</t>
  </si>
  <si>
    <t xml:space="preserve">Permission action denied fix</t>
  </si>
  <si>
    <t xml:space="preserve">CRE-4649</t>
  </si>
  <si>
    <t xml:space="preserve">Vayana Reports Requirements</t>
  </si>
  <si>
    <t xml:space="preserve">CRE-4814</t>
  </si>
  <si>
    <t xml:space="preserve">Loan config import fix</t>
  </si>
  <si>
    <t xml:space="preserve">CRE-4880</t>
  </si>
  <si>
    <t xml:space="preserve">Tax input in restructuring</t>
  </si>
  <si>
    <t xml:space="preserve">CRE-4912</t>
  </si>
  <si>
    <t xml:space="preserve">API issues VAPT</t>
  </si>
  <si>
    <t xml:space="preserve">Abhishek Sharma</t>
  </si>
  <si>
    <t xml:space="preserve">chore</t>
  </si>
  <si>
    <t xml:space="preserve">CRE-4962</t>
  </si>
  <si>
    <t xml:space="preserve">Fix profile tabs ordering</t>
  </si>
  <si>
    <t xml:space="preserve">High</t>
  </si>
  <si>
    <t xml:space="preserve">Nikhil Sharma</t>
  </si>
  <si>
    <t xml:space="preserve">CRE-4891</t>
  </si>
  <si>
    <t xml:space="preserve">Fix login_settings TypeError</t>
  </si>
  <si>
    <t xml:space="preserve">CRE-4938</t>
  </si>
  <si>
    <t xml:space="preserve">Update sidebar module permissions</t>
  </si>
  <si>
    <t xml:space="preserve">CRE-4909</t>
  </si>
  <si>
    <t xml:space="preserve">User delete not working</t>
  </si>
  <si>
    <t xml:space="preserve">CRE-4822</t>
  </si>
  <si>
    <t xml:space="preserve">Invoice module errors</t>
  </si>
  <si>
    <t xml:space="preserve">CRE-4897</t>
  </si>
  <si>
    <t xml:space="preserve">User management UI errors</t>
  </si>
  <si>
    <t xml:space="preserve">Gautam Singla</t>
  </si>
  <si>
    <t xml:space="preserve">CRE-4910</t>
  </si>
  <si>
    <t xml:space="preserve">Backend error format fix</t>
  </si>
  <si>
    <t xml:space="preserve">CRE-4919</t>
  </si>
  <si>
    <t xml:space="preserve">Wrong fee and tax calculation</t>
  </si>
  <si>
    <t xml:space="preserve">CRE-4906</t>
  </si>
  <si>
    <t xml:space="preserve">Group account loan creation error</t>
  </si>
  <si>
    <t xml:space="preserve">CRE-4737</t>
  </si>
  <si>
    <t xml:space="preserve">EOD Config &amp; Workflow Mgmt</t>
  </si>
  <si>
    <t xml:space="preserve">CRE-4907</t>
  </si>
  <si>
    <t xml:space="preserve">Loan approved amount validation</t>
  </si>
  <si>
    <t xml:space="preserve">CRE-4927</t>
  </si>
  <si>
    <t xml:space="preserve">Invoice/PO/Drawdown overview tab</t>
  </si>
  <si>
    <t xml:space="preserve">Medium</t>
  </si>
  <si>
    <t xml:space="preserve">CRE-4914</t>
  </si>
  <si>
    <t xml:space="preserve">Runner ID undefined in URL</t>
  </si>
  <si>
    <t xml:space="preserve">CRE-4892</t>
  </si>
  <si>
    <t xml:space="preserve">System date blank loading state</t>
  </si>
  <si>
    <t xml:space="preserve">CRE-4530</t>
  </si>
  <si>
    <t xml:space="preserve">CDMS Requirements</t>
  </si>
  <si>
    <t xml:space="preserve">CRE-4313</t>
  </si>
  <si>
    <t xml:space="preserve">Freeze header row &amp; action column</t>
  </si>
  <si>
    <t xml:space="preserve">CRE-4887</t>
  </si>
  <si>
    <t xml:space="preserve">Remove schedule number from program</t>
  </si>
  <si>
    <t xml:space="preserve">CRE-4932</t>
  </si>
  <si>
    <t xml:space="preserve">Github Cleanup</t>
  </si>
  <si>
    <t xml:space="preserve">CRE-4934</t>
  </si>
  <si>
    <t xml:space="preserve">Setup preview deploy for PRs</t>
  </si>
  <si>
    <t xml:space="preserve">CRE-4933</t>
  </si>
  <si>
    <t xml:space="preserve">Deploy preview using S3</t>
  </si>
  <si>
    <t xml:space="preserve">Released (6 issues — already deployed)</t>
  </si>
  <si>
    <t xml:space="preserve">CRE-3707</t>
  </si>
  <si>
    <t xml:space="preserve">Partners, Agents &amp; Customer login</t>
  </si>
  <si>
    <t xml:space="preserve">Released</t>
  </si>
  <si>
    <t xml:space="preserve">Release blocker cleared</t>
  </si>
  <si>
    <t xml:space="preserve">CRE-4959</t>
  </si>
  <si>
    <t xml:space="preserve">BCPL PROD Storage</t>
  </si>
  <si>
    <t xml:space="preserve">Arjit Agnihotri</t>
  </si>
  <si>
    <t xml:space="preserve">CRE-4916</t>
  </si>
  <si>
    <t xml:space="preserve">Solfin Preprod Setup</t>
  </si>
  <si>
    <t xml:space="preserve">Pradeep</t>
  </si>
  <si>
    <t xml:space="preserve">crego-infra</t>
  </si>
  <si>
    <t xml:space="preserve">CRE-4895</t>
  </si>
  <si>
    <t xml:space="preserve">Gunicorn startup crash ModuleNotFoundError</t>
  </si>
  <si>
    <t xml:space="preserve">CRE-4629</t>
  </si>
  <si>
    <t xml:space="preserve">Report → Audit Report</t>
  </si>
  <si>
    <t xml:space="preserve">CRE-4953</t>
  </si>
  <si>
    <t xml:space="preserve">Salary Slip PDF extraction</t>
  </si>
  <si>
    <t xml:space="preserve">Daman Kohli</t>
  </si>
  <si>
    <t xml:space="preserve">crego-ai</t>
  </si>
  <si>
    <t xml:space="preserve">UAT (6 issues — awaiting user acceptance)</t>
  </si>
  <si>
    <t xml:space="preserve">CRE-4901</t>
  </si>
  <si>
    <t xml:space="preserve">Solfin Prod Login Issue</t>
  </si>
  <si>
    <t xml:space="preserve">UAT</t>
  </si>
  <si>
    <t xml:space="preserve">Client-specific</t>
  </si>
  <si>
    <t xml:space="preserve">CRE-4811</t>
  </si>
  <si>
    <t xml:space="preserve">Vayana Colending Issues</t>
  </si>
  <si>
    <t xml:space="preserve">Needs Vayana sign-off</t>
  </si>
  <si>
    <t xml:space="preserve">CRE-4921</t>
  </si>
  <si>
    <t xml:space="preserve">Adani write-off sample</t>
  </si>
  <si>
    <t xml:space="preserve">Pankaj Singh</t>
  </si>
  <si>
    <t xml:space="preserve">Client testing</t>
  </si>
  <si>
    <t xml:space="preserve">CRE-4946</t>
  </si>
  <si>
    <t xml:space="preserve">Scope inheritance MODEL_SCOPING</t>
  </si>
  <si>
    <t xml:space="preserve">CRE-4920</t>
  </si>
  <si>
    <t xml:space="preserve">Basic Home BRE API and UI</t>
  </si>
  <si>
    <t xml:space="preserve">CRE-4772</t>
  </si>
  <si>
    <t xml:space="preserve">Credflow Requirement APIs</t>
  </si>
  <si>
    <t xml:space="preserve">QA (16 issues — testing in progress)</t>
  </si>
  <si>
    <t xml:space="preserve">CRE-4965</t>
  </si>
  <si>
    <t xml:space="preserve">GL Account Excel import/export broken</t>
  </si>
  <si>
    <t xml:space="preserve">QA</t>
  </si>
  <si>
    <t xml:space="preserve">CRE-4949</t>
  </si>
  <si>
    <t xml:space="preserve">Foreclosure negative outstanding</t>
  </si>
  <si>
    <t xml:space="preserve">Critical bug</t>
  </si>
  <si>
    <t xml:space="preserve">CRE-4957</t>
  </si>
  <si>
    <t xml:space="preserve">Outstanding not zero after repayment</t>
  </si>
  <si>
    <t xml:space="preserve">CRE-4948</t>
  </si>
  <si>
    <t xml:space="preserve">Bulk Permission not working</t>
  </si>
  <si>
    <t xml:space="preserve">CRE-4876</t>
  </si>
  <si>
    <t xml:space="preserve">Accounting on component category</t>
  </si>
  <si>
    <t xml:space="preserve">CRE-4825</t>
  </si>
  <si>
    <t xml:space="preserve">Runner list API performance 2-3x</t>
  </si>
  <si>
    <t xml:space="preserve">Arjit</t>
  </si>
  <si>
    <t xml:space="preserve">CRE-4831</t>
  </si>
  <si>
    <t xml:space="preserve">GL Setup Aerem, Adani &amp; Vayana</t>
  </si>
  <si>
    <t xml:space="preserve">Largest item — complex integration</t>
  </si>
  <si>
    <t xml:space="preserve">CRE-4769</t>
  </si>
  <si>
    <t xml:space="preserve">Schedule Snapshot in Transaction audit</t>
  </si>
  <si>
    <t xml:space="preserve">CRE-4924</t>
  </si>
  <si>
    <t xml:space="preserve">Hierarchical API for program partners</t>
  </si>
  <si>
    <t xml:space="preserve">priyam.j</t>
  </si>
  <si>
    <t xml:space="preserve">CRE-4904</t>
  </si>
  <si>
    <t xml:space="preserve">Superuser approval actions</t>
  </si>
  <si>
    <t xml:space="preserve">CRE-4944</t>
  </si>
  <si>
    <t xml:space="preserve">500 Error synchronous EOD</t>
  </si>
  <si>
    <t xml:space="preserve">CRE-4871</t>
  </si>
  <si>
    <t xml:space="preserve">Client release tagging</t>
  </si>
  <si>
    <t xml:space="preserve">CRE-4890</t>
  </si>
  <si>
    <t xml:space="preserve">Group permissions auto-add</t>
  </si>
  <si>
    <t xml:space="preserve">CRE-4925</t>
  </si>
  <si>
    <t xml:space="preserve">Enhance program partner inputs invoices</t>
  </si>
  <si>
    <t xml:space="preserve">CRE-4686</t>
  </si>
  <si>
    <t xml:space="preserve">GL → Tally Integration</t>
  </si>
  <si>
    <t xml:space="preserve">Complex integration test</t>
  </si>
  <si>
    <t xml:space="preserve">CRE-4941</t>
  </si>
  <si>
    <t xml:space="preserve">EntityInfo component clean-up</t>
  </si>
  <si>
    <t xml:space="preserve">sidharth.k</t>
  </si>
  <si>
    <t xml:space="preserve">tech-debt</t>
  </si>
  <si>
    <t xml:space="preserve">PR Review (3 issues — awaiting merge)</t>
  </si>
  <si>
    <t xml:space="preserve">CRE-4868</t>
  </si>
  <si>
    <t xml:space="preserve">Check anchor in Program partner</t>
  </si>
  <si>
    <t xml:space="preserve">PR Review</t>
  </si>
  <si>
    <t xml:space="preserve">Archived — verify still needed</t>
  </si>
  <si>
    <t xml:space="preserve">CRE-4964</t>
  </si>
  <si>
    <t xml:space="preserve">Remove balance column GL Account</t>
  </si>
  <si>
    <t xml:space="preserve">Harshita Rajpal</t>
  </si>
  <si>
    <t xml:space="preserve">CRE-4926</t>
  </si>
  <si>
    <t xml:space="preserve">Integrate all_partners API invoice</t>
  </si>
  <si>
    <t xml:space="preserve">Development (13 issues — still in progress)</t>
  </si>
  <si>
    <t xml:space="preserve">CRE-4967</t>
  </si>
  <si>
    <t xml:space="preserve">BCPL Prod DA Migration</t>
  </si>
  <si>
    <t xml:space="preserve">Development</t>
  </si>
  <si>
    <t xml:space="preserve">BCPL client</t>
  </si>
  <si>
    <t xml:space="preserve">CRE-4885</t>
  </si>
  <si>
    <t xml:space="preserve">LOG_FORMAT=json revert</t>
  </si>
  <si>
    <t xml:space="preserve">devsecops-read</t>
  </si>
  <si>
    <t xml:space="preserve">Config change</t>
  </si>
  <si>
    <t xml:space="preserve">CRE-4955</t>
  </si>
  <si>
    <t xml:space="preserve">Skip Pre-EMI adding instead of skip</t>
  </si>
  <si>
    <t xml:space="preserve">Ashutosh Sharma</t>
  </si>
  <si>
    <t xml:space="preserve">Must fix before release</t>
  </si>
  <si>
    <t xml:space="preserve">CRE-4879</t>
  </si>
  <si>
    <t xml:space="preserve">System txn date auto-update</t>
  </si>
  <si>
    <t xml:space="preserve">Arun Kumar</t>
  </si>
  <si>
    <t xml:space="preserve">CRE-4875</t>
  </si>
  <si>
    <t xml:space="preserve">RPS Upload V2 (ZetApp)</t>
  </si>
  <si>
    <t xml:space="preserve">CRE-4956</t>
  </si>
  <si>
    <t xml:space="preserve">Error in User assignment</t>
  </si>
  <si>
    <t xml:space="preserve">CRE-4745</t>
  </si>
  <si>
    <t xml:space="preserve">Optimise GCP dev and preprod</t>
  </si>
  <si>
    <t xml:space="preserve">Overdue</t>
  </si>
  <si>
    <t xml:space="preserve">CRE-4958</t>
  </si>
  <si>
    <t xml:space="preserve">Setup Sentry all services</t>
  </si>
  <si>
    <t xml:space="preserve">Stretch goal</t>
  </si>
  <si>
    <t xml:space="preserve">CRE-4936</t>
  </si>
  <si>
    <t xml:space="preserve">ContactBank in GL Account</t>
  </si>
  <si>
    <t xml:space="preserve">CRE-4918</t>
  </si>
  <si>
    <t xml:space="preserve">Unable to edit payment form</t>
  </si>
  <si>
    <t xml:space="preserve">CRE-4874</t>
  </si>
  <si>
    <t xml:space="preserve">Document Intelligence &amp; Analysis</t>
  </si>
  <si>
    <t xml:space="preserve">swastik.g</t>
  </si>
  <si>
    <t xml:space="preserve">AI module — stretch</t>
  </si>
  <si>
    <t xml:space="preserve">CRE-4816</t>
  </si>
  <si>
    <t xml:space="preserve">Fees error</t>
  </si>
  <si>
    <t xml:space="preserve">CRE-4896</t>
  </si>
  <si>
    <t xml:space="preserve">CI Coverage failing</t>
  </si>
  <si>
    <t xml:space="preserve">Todo (8 issues — not started)</t>
  </si>
  <si>
    <t xml:space="preserve">CRE-4963</t>
  </si>
  <si>
    <t xml:space="preserve">Argocd preprod git connection</t>
  </si>
  <si>
    <t xml:space="preserve">Todo</t>
  </si>
  <si>
    <t xml:space="preserve">CRE-4977</t>
  </si>
  <si>
    <t xml:space="preserve">Client release for web services</t>
  </si>
  <si>
    <t xml:space="preserve">CRE-4960</t>
  </si>
  <si>
    <t xml:space="preserve">Solfin v2 deployment</t>
  </si>
  <si>
    <t xml:space="preserve">CRE-4899</t>
  </si>
  <si>
    <t xml:space="preserve">Workflow graph: use run_eod</t>
  </si>
  <si>
    <t xml:space="preserve">Archived</t>
  </si>
  <si>
    <t xml:space="preserve">CRE-4922</t>
  </si>
  <si>
    <t xml:space="preserve">Runners listing slow in v2</t>
  </si>
  <si>
    <t xml:space="preserve">CRE-4923</t>
  </si>
  <si>
    <t xml:space="preserve">Increase aws-dev &amp; prod MongoDB</t>
  </si>
  <si>
    <t xml:space="preserve">CRE-4889</t>
  </si>
  <si>
    <t xml:space="preserve">Multi-tranche edge cases</t>
  </si>
  <si>
    <t xml:space="preserve">CRE-4714</t>
  </si>
  <si>
    <t xml:space="preserve">Realtime Outstanding &amp; DPD at Schedule</t>
  </si>
  <si>
    <t xml:space="preserve">STATUS SUMMARY</t>
  </si>
  <si>
    <t xml:space="preserve">TOTAL</t>
  </si>
  <si>
    <t xml:space="preserve">RELEASE CHECKLIST — v2.3.0</t>
  </si>
  <si>
    <t xml:space="preserve">Release Date:</t>
  </si>
  <si>
    <t xml:space="preserve">Target 7 Mar 2026</t>
  </si>
  <si>
    <t xml:space="preserve">Release Manager:</t>
  </si>
  <si>
    <t xml:space="preserve">Phase</t>
  </si>
  <si>
    <t xml:space="preserve">Task</t>
  </si>
  <si>
    <t xml:space="preserve">Owner</t>
  </si>
  <si>
    <t xml:space="preserve">PRE-RELEASE</t>
  </si>
  <si>
    <t xml:space="preserve">Pre-Release</t>
  </si>
  <si>
    <t xml:space="preserve">All PRs merged to develop</t>
  </si>
  <si>
    <t xml:space="preserve">Dev Leads</t>
  </si>
  <si>
    <t xml:space="preserve">Pending</t>
  </si>
  <si>
    <t xml:space="preserve">All QA items passed on develop</t>
  </si>
  <si>
    <t xml:space="preserve">QA Team</t>
  </si>
  <si>
    <t xml:space="preserve">Release blocker issues resolved</t>
  </si>
  <si>
    <t xml:space="preserve">Security/VAPT scan passed</t>
  </si>
  <si>
    <t xml:space="preserve">DevSecOps</t>
  </si>
  <si>
    <t xml:space="preserve">Performance baseline captured</t>
  </si>
  <si>
    <t xml:space="preserve">Backend Lead</t>
  </si>
  <si>
    <t xml:space="preserve">Release notes drafted</t>
  </si>
  <si>
    <t xml:space="preserve">PM / Release Manager</t>
  </si>
  <si>
    <t xml:space="preserve">CUT RELEASE BRANCH</t>
  </si>
  <si>
    <t xml:space="preserve">Cut Release Branch</t>
  </si>
  <si>
    <t xml:space="preserve">Create release/v2.3.0 from develop</t>
  </si>
  <si>
    <t xml:space="preserve">All 4 repos</t>
  </si>
  <si>
    <t xml:space="preserve">Tag release branch</t>
  </si>
  <si>
    <t xml:space="preserve">9</t>
  </si>
  <si>
    <t xml:space="preserve">Deploy to pre-prod</t>
  </si>
  <si>
    <t xml:space="preserve">10</t>
  </si>
  <si>
    <t xml:space="preserve">Smoke tests on pre-prod</t>
  </si>
  <si>
    <t xml:space="preserve">11</t>
  </si>
  <si>
    <t xml:space="preserve">Notify teams of branch cut</t>
  </si>
  <si>
    <t xml:space="preserve">PRE-PROD TESTING</t>
  </si>
  <si>
    <t xml:space="preserve">Pre-prod Testing</t>
  </si>
  <si>
    <t xml:space="preserve">12</t>
  </si>
  <si>
    <t xml:space="preserve">Functional testing</t>
  </si>
  <si>
    <t xml:space="preserve">13</t>
  </si>
  <si>
    <t xml:space="preserve">Regression testing</t>
  </si>
  <si>
    <t xml:space="preserve">14</t>
  </si>
  <si>
    <t xml:space="preserve">Performance testing</t>
  </si>
  <si>
    <t xml:space="preserve">15</t>
  </si>
  <si>
    <t xml:space="preserve">Data migration verification</t>
  </si>
  <si>
    <t xml:space="preserve">16</t>
  </si>
  <si>
    <t xml:space="preserve">QA sign-off</t>
  </si>
  <si>
    <t xml:space="preserve">QA Lead</t>
  </si>
  <si>
    <t xml:space="preserve">17</t>
  </si>
  <si>
    <t xml:space="preserve">Schedule UAT with stakeholders</t>
  </si>
  <si>
    <t xml:space="preserve">18</t>
  </si>
  <si>
    <t xml:space="preserve">Execute UAT test cases</t>
  </si>
  <si>
    <t xml:space="preserve">PM / QA</t>
  </si>
  <si>
    <t xml:space="preserve">19</t>
  </si>
  <si>
    <t xml:space="preserve">Product sign-off</t>
  </si>
  <si>
    <t xml:space="preserve">Product Manager</t>
  </si>
  <si>
    <t xml:space="preserve">PRODUCTION DEPLOY</t>
  </si>
  <si>
    <t xml:space="preserve">Production Deploy</t>
  </si>
  <si>
    <t xml:space="preserve">20</t>
  </si>
  <si>
    <t xml:space="preserve">Final review meeting</t>
  </si>
  <si>
    <t xml:space="preserve">All Leads</t>
  </si>
  <si>
    <t xml:space="preserve">21</t>
  </si>
  <si>
    <t xml:space="preserve">Merge release → master/main</t>
  </si>
  <si>
    <t xml:space="preserve">22</t>
  </si>
  <si>
    <t xml:space="preserve">Create tag v2.3.0</t>
  </si>
  <si>
    <t xml:space="preserve">23</t>
  </si>
  <si>
    <t xml:space="preserve">Deploy to production</t>
  </si>
  <si>
    <t xml:space="preserve">24</t>
  </si>
  <si>
    <t xml:space="preserve">Smoke tests on production</t>
  </si>
  <si>
    <t xml:space="preserve">POST-RELEASE</t>
  </si>
  <si>
    <t xml:space="preserve">Post-Release</t>
  </si>
  <si>
    <t xml:space="preserve">25</t>
  </si>
  <si>
    <t xml:space="preserve">Merge master/main → develop</t>
  </si>
  <si>
    <t xml:space="preserve">26</t>
  </si>
  <si>
    <t xml:space="preserve">Publish release notes</t>
  </si>
  <si>
    <t xml:space="preserve">PM</t>
  </si>
  <si>
    <t xml:space="preserve">27</t>
  </si>
  <si>
    <t xml:space="preserve">Monitor production (24h)</t>
  </si>
  <si>
    <t xml:space="preserve">DevSecOps + Backend</t>
  </si>
  <si>
    <t xml:space="preserve">28</t>
  </si>
  <si>
    <t xml:space="preserve">Release retrospective</t>
  </si>
  <si>
    <t xml:space="preserve">v2.3.0 RELEASE TIMELINE</t>
  </si>
  <si>
    <t xml:space="preserve">Week</t>
  </si>
  <si>
    <t xml:space="preserve">Dates</t>
  </si>
  <si>
    <t xml:space="preserve">Key Activities</t>
  </si>
  <si>
    <t xml:space="preserve">Cycle 160 (Current)</t>
  </si>
  <si>
    <t xml:space="preserve">Feb 16–22</t>
  </si>
  <si>
    <t xml:space="preserve">Close Cycle</t>
  </si>
  <si>
    <t xml:space="preserve">Complete in-flight Dev &amp; PR merges; clear QA backlog (16 items); UAT sign-offs (6 items); release blocker CRE-4649 closed</t>
  </si>
  <si>
    <t xml:space="preserve">All</t>
  </si>
  <si>
    <t xml:space="preserve">In Progress</t>
  </si>
  <si>
    <t xml:space="preserve">Cycle 161</t>
  </si>
  <si>
    <t xml:space="preserve">Feb 23–28</t>
  </si>
  <si>
    <t xml:space="preserve">Stabilize &amp; Branch Cut</t>
  </si>
  <si>
    <t xml:space="preserve">Merge remaining PRs; QA pass on all cycle 160 items; cut release/v2.3.0 from develop (Feb 28); deploy to pre-prod</t>
  </si>
  <si>
    <t xml:space="preserve">Release Mgr + DevSecOps</t>
  </si>
  <si>
    <t xml:space="preserve">Week of Mar 2</t>
  </si>
  <si>
    <t xml:space="preserve">Mar 2–6</t>
  </si>
  <si>
    <t xml:space="preserve">Functional &amp; regression testing on pre-prod; performance baseline; fix any release blockers found</t>
  </si>
  <si>
    <t xml:space="preserve">QA + Dev Leads</t>
  </si>
  <si>
    <t xml:space="preserve">Week of Mar 9</t>
  </si>
  <si>
    <t xml:space="preserve">Mar 9–13</t>
  </si>
  <si>
    <t xml:space="preserve">UAT with product &amp; stakeholders; Vayana UAT (CRE-4811); client-specific testing; product sign-off</t>
  </si>
  <si>
    <t xml:space="preserve">PM + QA</t>
  </si>
  <si>
    <t xml:space="preserve">Target Deploy</t>
  </si>
  <si>
    <t xml:space="preserve">Mar 14</t>
  </si>
  <si>
    <t xml:space="preserve">Merge to master/main; tag v2.3.0; deploy; smoke tests; monitor 24h</t>
  </si>
  <si>
    <t xml:space="preserve">Buffer</t>
  </si>
  <si>
    <t xml:space="preserve">Mar 16+</t>
  </si>
  <si>
    <t xml:space="preserve">Contingency</t>
  </si>
  <si>
    <t xml:space="preserve">Buffer for slippage, late UAT findings, or hotfix cherry-picks</t>
  </si>
  <si>
    <t xml:space="preserve">v2.3.0 RISK REGISTER</t>
  </si>
  <si>
    <t xml:space="preserve">Risk ID</t>
  </si>
  <si>
    <t xml:space="preserve">Description</t>
  </si>
  <si>
    <t xml:space="preserve">Likelihood</t>
  </si>
  <si>
    <t xml:space="preserve">Impact</t>
  </si>
  <si>
    <t xml:space="preserve">Mitigation</t>
  </si>
  <si>
    <t xml:space="preserve">R1</t>
  </si>
  <si>
    <t xml:space="preserve">GL Setup (CRE-4831) is 8pts in QA — largest single item. Complex multi-client GL config may surface integration issues late.</t>
  </si>
  <si>
    <t xml:space="preserve">Early QA focus; dedicated QA slot; Hiten supports Somya on GL testing</t>
  </si>
  <si>
    <t xml:space="preserve">Hiten / Somya</t>
  </si>
  <si>
    <t xml:space="preserve">R2</t>
  </si>
  <si>
    <t xml:space="preserve">16 issues still in QA — garima.a has 8 of them. QA bottleneck may delay release branch cut.</t>
  </si>
  <si>
    <t xml:space="preserve">garima.a prioritizes urgent bugs first (CRE-4949, 4957, 4965); Somya takes non-critical items</t>
  </si>
  <si>
    <t xml:space="preserve">garima.a / Somya</t>
  </si>
  <si>
    <t xml:space="preserve">R3</t>
  </si>
  <si>
    <t xml:space="preserve">13 issues still in Development — may not all make branch cut on Feb 28.</t>
  </si>
  <si>
    <t xml:space="preserve">Strict scope cut: only urgent bugs (CRE-4955, 4879) must make it; stretch goals (Sentry, AI) defer to v2.4.0</t>
  </si>
  <si>
    <t xml:space="preserve">Abhishek</t>
  </si>
  <si>
    <t xml:space="preserve">R4</t>
  </si>
  <si>
    <t xml:space="preserve">Vayana UAT (CRE-4811, 4pts) depends on external client sign-off. Colending issues require Vayana coordination.</t>
  </si>
  <si>
    <t xml:space="preserve">Schedule UAT early this week; parallel-track with other UAT items; escalate if no response by Wed</t>
  </si>
  <si>
    <t xml:space="preserve">Pankaj / Somya</t>
  </si>
  <si>
    <t xml:space="preserve">R5</t>
  </si>
  <si>
    <t xml:space="preserve">Critical transaction bugs in QA — foreclosure negative outstanding (CRE-4949), repayment not zeroing (CRE-4957). If not fixed, release blocker.</t>
  </si>
  <si>
    <t xml:space="preserve">garima.a + Ashutosh pair on root cause; escalate to Abhishek if not resolved by mid-week</t>
  </si>
  <si>
    <t xml:space="preserve">garima.a / Ashutosh</t>
  </si>
  <si>
    <t xml:space="preserve">R6</t>
  </si>
  <si>
    <t xml:space="preserve">Infra items (ArgoCD git connection, Solfin deployment, GCP optimization) in Todo/Development — may delay pre-prod deploy.</t>
  </si>
  <si>
    <t xml:space="preserve">devsecops-read prioritizes ArgoCD fix (CRE-4963) first; Pradeep focuses on GCP optimization</t>
  </si>
  <si>
    <t xml:space="preserve">Pradeep / devsecops</t>
  </si>
  <si>
    <t xml:space="preserve">R7</t>
  </si>
  <si>
    <t xml:space="preserve">Permission module had massive churn (15+ issues). Regression risk is high even though most are in Pending Release.</t>
  </si>
  <si>
    <t xml:space="preserve">Dedicated regression testing on permissions module during pre-prod phase</t>
  </si>
  <si>
    <t xml:space="preserve">Somya / QA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</si>
</sst>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6" min="5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15" hidden="false" customHeight="fals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15" hidden="false" customHeight="fals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15" hidden="false" customHeight="fals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15" hidden="false" customHeight="fals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4" customFormat="false" ht="15" hidden="false" customHeight="false" outlineLevel="0" collapsed="false">
      <c r="A14" s="5" t="s">
        <v>20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3" t="s">
        <v>21</v>
      </c>
      <c r="B15" s="4" t="s">
        <v>22</v>
      </c>
      <c r="C15" s="4"/>
      <c r="D15" s="4"/>
      <c r="E15" s="4"/>
      <c r="F15" s="4"/>
    </row>
    <row r="16" customFormat="false" ht="15" hidden="false" customHeight="false" outlineLevel="0" collapsed="false">
      <c r="A16" s="3" t="s">
        <v>23</v>
      </c>
      <c r="B16" s="4" t="s">
        <v>24</v>
      </c>
      <c r="C16" s="4"/>
      <c r="D16" s="4"/>
      <c r="E16" s="4"/>
      <c r="F16" s="4"/>
    </row>
    <row r="17" customFormat="false" ht="15" hidden="false" customHeight="false" outlineLevel="0" collapsed="false">
      <c r="A17" s="3" t="s">
        <v>25</v>
      </c>
      <c r="B17" s="4" t="s">
        <v>26</v>
      </c>
      <c r="C17" s="4"/>
      <c r="D17" s="4"/>
      <c r="E17" s="4"/>
      <c r="F17" s="4"/>
    </row>
    <row r="18" customFormat="false" ht="15" hidden="false" customHeight="false" outlineLevel="0" collapsed="false">
      <c r="A18" s="3" t="s">
        <v>27</v>
      </c>
      <c r="B18" s="4" t="s">
        <v>28</v>
      </c>
      <c r="C18" s="4"/>
      <c r="D18" s="4"/>
      <c r="E18" s="4"/>
      <c r="F18" s="4"/>
    </row>
    <row r="19" customFormat="false" ht="15" hidden="false" customHeight="false" outlineLevel="0" collapsed="false">
      <c r="A19" s="3" t="s">
        <v>29</v>
      </c>
      <c r="B19" s="4" t="s">
        <v>30</v>
      </c>
      <c r="C19" s="4"/>
      <c r="D19" s="4"/>
      <c r="E19" s="4"/>
      <c r="F19" s="4"/>
    </row>
    <row r="20" customFormat="false" ht="15" hidden="false" customHeight="false" outlineLevel="0" collapsed="false">
      <c r="A20" s="3" t="s">
        <v>31</v>
      </c>
      <c r="B20" s="4" t="s">
        <v>32</v>
      </c>
      <c r="C20" s="4"/>
      <c r="D20" s="4"/>
      <c r="E20" s="4"/>
      <c r="F20" s="4"/>
    </row>
    <row r="21" customFormat="false" ht="15" hidden="false" customHeight="false" outlineLevel="0" collapsed="false">
      <c r="A21" s="3" t="s">
        <v>33</v>
      </c>
      <c r="B21" s="4" t="s">
        <v>34</v>
      </c>
      <c r="C21" s="4"/>
      <c r="D21" s="4"/>
      <c r="E21" s="4"/>
      <c r="F21" s="4"/>
    </row>
    <row r="22" customFormat="false" ht="15" hidden="false" customHeight="false" outlineLevel="0" collapsed="false">
      <c r="A22" s="3" t="s">
        <v>35</v>
      </c>
      <c r="B22" s="4" t="s">
        <v>36</v>
      </c>
      <c r="C22" s="4"/>
      <c r="D22" s="4"/>
      <c r="E22" s="4"/>
      <c r="F22" s="4"/>
    </row>
    <row r="24" customFormat="false" ht="15" hidden="false" customHeight="false" outlineLevel="0" collapsed="false">
      <c r="A24" s="5" t="s">
        <v>37</v>
      </c>
      <c r="B24" s="5"/>
      <c r="C24" s="5"/>
      <c r="D24" s="5"/>
      <c r="E24" s="5"/>
      <c r="F24" s="5"/>
    </row>
    <row r="25" customFormat="false" ht="15" hidden="false" customHeight="false" outlineLevel="0" collapsed="false">
      <c r="A25" s="6" t="s">
        <v>38</v>
      </c>
      <c r="B25" s="6" t="s">
        <v>39</v>
      </c>
      <c r="C25" s="6" t="s">
        <v>40</v>
      </c>
      <c r="D25" s="6" t="s">
        <v>41</v>
      </c>
    </row>
    <row r="26" customFormat="false" ht="15" hidden="false" customHeight="false" outlineLevel="0" collapsed="false">
      <c r="A26" s="7" t="s">
        <v>42</v>
      </c>
      <c r="B26" s="7" t="s">
        <v>43</v>
      </c>
      <c r="C26" s="7" t="s">
        <v>44</v>
      </c>
      <c r="D26" s="7" t="s">
        <v>45</v>
      </c>
    </row>
    <row r="27" customFormat="false" ht="15" hidden="false" customHeight="false" outlineLevel="0" collapsed="false">
      <c r="A27" s="8" t="s">
        <v>46</v>
      </c>
      <c r="B27" s="8" t="s">
        <v>47</v>
      </c>
      <c r="C27" s="8" t="s">
        <v>48</v>
      </c>
      <c r="D27" s="8" t="s">
        <v>49</v>
      </c>
    </row>
    <row r="28" customFormat="false" ht="15" hidden="false" customHeight="false" outlineLevel="0" collapsed="false">
      <c r="A28" s="7" t="s">
        <v>50</v>
      </c>
      <c r="B28" s="7" t="s">
        <v>51</v>
      </c>
      <c r="C28" s="7" t="s">
        <v>52</v>
      </c>
      <c r="D28" s="7" t="s">
        <v>53</v>
      </c>
    </row>
    <row r="29" customFormat="false" ht="15" hidden="false" customHeight="false" outlineLevel="0" collapsed="false">
      <c r="A29" s="8" t="s">
        <v>54</v>
      </c>
      <c r="B29" s="8" t="s">
        <v>55</v>
      </c>
      <c r="C29" s="8" t="s">
        <v>56</v>
      </c>
      <c r="D29" s="8" t="s">
        <v>57</v>
      </c>
    </row>
    <row r="30" customFormat="false" ht="15" hidden="false" customHeight="false" outlineLevel="0" collapsed="false">
      <c r="A30" s="7" t="s">
        <v>58</v>
      </c>
      <c r="B30" s="7" t="s">
        <v>59</v>
      </c>
      <c r="C30" s="7" t="s">
        <v>60</v>
      </c>
      <c r="D30" s="7" t="s">
        <v>61</v>
      </c>
    </row>
    <row r="31" customFormat="false" ht="15" hidden="false" customHeight="false" outlineLevel="0" collapsed="false">
      <c r="A31" s="8" t="s">
        <v>62</v>
      </c>
      <c r="B31" s="8" t="s">
        <v>63</v>
      </c>
      <c r="C31" s="8" t="s">
        <v>64</v>
      </c>
      <c r="D31" s="8" t="s">
        <v>65</v>
      </c>
    </row>
    <row r="32" customFormat="false" ht="15" hidden="false" customHeight="false" outlineLevel="0" collapsed="false">
      <c r="A32" s="7" t="s">
        <v>66</v>
      </c>
      <c r="B32" s="7" t="s">
        <v>67</v>
      </c>
      <c r="C32" s="7" t="s">
        <v>68</v>
      </c>
      <c r="D32" s="7" t="s">
        <v>69</v>
      </c>
    </row>
    <row r="33" customFormat="false" ht="15" hidden="false" customHeight="false" outlineLevel="0" collapsed="false">
      <c r="A33" s="8" t="s">
        <v>70</v>
      </c>
      <c r="B33" s="8" t="s">
        <v>71</v>
      </c>
      <c r="C33" s="8" t="s">
        <v>72</v>
      </c>
      <c r="D33" s="8" t="s">
        <v>73</v>
      </c>
    </row>
  </sheetData>
  <mergeCells count="2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B20:F20"/>
    <mergeCell ref="B21:F21"/>
    <mergeCell ref="B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6" t="s">
        <v>74</v>
      </c>
      <c r="B1" s="6" t="s">
        <v>75</v>
      </c>
      <c r="C1" s="6" t="s">
        <v>41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</row>
    <row r="2" customFormat="false" ht="15" hidden="false" customHeight="false" outlineLevel="0" collapsed="false">
      <c r="A2" s="9" t="s">
        <v>83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7" t="s">
        <v>84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/>
    </row>
    <row r="4" customFormat="false" ht="15" hidden="false" customHeight="false" outlineLevel="0" collapsed="false">
      <c r="A4" s="8" t="s">
        <v>93</v>
      </c>
      <c r="B4" s="8" t="s">
        <v>94</v>
      </c>
      <c r="C4" s="8" t="s">
        <v>86</v>
      </c>
      <c r="D4" s="8" t="s">
        <v>87</v>
      </c>
      <c r="E4" s="8" t="s">
        <v>95</v>
      </c>
      <c r="F4" s="8" t="s">
        <v>96</v>
      </c>
      <c r="G4" s="8" t="s">
        <v>90</v>
      </c>
      <c r="H4" s="8" t="s">
        <v>42</v>
      </c>
      <c r="I4" s="8" t="s">
        <v>92</v>
      </c>
      <c r="J4" s="8"/>
    </row>
    <row r="5" customFormat="false" ht="15" hidden="false" customHeight="false" outlineLevel="0" collapsed="false">
      <c r="A5" s="7" t="s">
        <v>97</v>
      </c>
      <c r="B5" s="7" t="s">
        <v>98</v>
      </c>
      <c r="C5" s="7" t="s">
        <v>86</v>
      </c>
      <c r="D5" s="7" t="s">
        <v>87</v>
      </c>
      <c r="E5" s="7" t="s">
        <v>95</v>
      </c>
      <c r="F5" s="7" t="s">
        <v>96</v>
      </c>
      <c r="G5" s="7" t="s">
        <v>90</v>
      </c>
      <c r="H5" s="7" t="s">
        <v>42</v>
      </c>
      <c r="I5" s="7" t="s">
        <v>92</v>
      </c>
      <c r="J5" s="7"/>
    </row>
    <row r="6" customFormat="false" ht="15" hidden="false" customHeight="false" outlineLevel="0" collapsed="false">
      <c r="A6" s="8" t="s">
        <v>99</v>
      </c>
      <c r="B6" s="8" t="s">
        <v>100</v>
      </c>
      <c r="C6" s="8" t="s">
        <v>86</v>
      </c>
      <c r="D6" s="8" t="s">
        <v>87</v>
      </c>
      <c r="E6" s="8" t="s">
        <v>101</v>
      </c>
      <c r="F6" s="8" t="s">
        <v>89</v>
      </c>
      <c r="G6" s="8" t="s">
        <v>102</v>
      </c>
      <c r="H6" s="8" t="s">
        <v>91</v>
      </c>
      <c r="I6" s="8" t="s">
        <v>92</v>
      </c>
      <c r="J6" s="8"/>
    </row>
    <row r="7" customFormat="false" ht="15" hidden="false" customHeight="false" outlineLevel="0" collapsed="false">
      <c r="A7" s="7" t="s">
        <v>103</v>
      </c>
      <c r="B7" s="7" t="s">
        <v>104</v>
      </c>
      <c r="C7" s="7" t="s">
        <v>86</v>
      </c>
      <c r="D7" s="7" t="s">
        <v>87</v>
      </c>
      <c r="E7" s="7" t="s">
        <v>88</v>
      </c>
      <c r="F7" s="7" t="s">
        <v>105</v>
      </c>
      <c r="G7" s="7" t="s">
        <v>90</v>
      </c>
      <c r="H7" s="7" t="s">
        <v>91</v>
      </c>
      <c r="I7" s="7" t="s">
        <v>92</v>
      </c>
      <c r="J7" s="7"/>
    </row>
    <row r="8" customFormat="false" ht="15" hidden="false" customHeight="false" outlineLevel="0" collapsed="false">
      <c r="A8" s="8" t="s">
        <v>106</v>
      </c>
      <c r="B8" s="8" t="s">
        <v>107</v>
      </c>
      <c r="C8" s="8" t="s">
        <v>86</v>
      </c>
      <c r="D8" s="8" t="s">
        <v>87</v>
      </c>
      <c r="E8" s="8" t="s">
        <v>108</v>
      </c>
      <c r="F8" s="8" t="s">
        <v>89</v>
      </c>
      <c r="G8" s="8" t="s">
        <v>109</v>
      </c>
      <c r="H8" s="8" t="s">
        <v>46</v>
      </c>
      <c r="I8" s="8" t="s">
        <v>92</v>
      </c>
      <c r="J8" s="8"/>
    </row>
    <row r="9" customFormat="false" ht="15" hidden="false" customHeight="false" outlineLevel="0" collapsed="false">
      <c r="A9" s="7" t="s">
        <v>110</v>
      </c>
      <c r="B9" s="7" t="s">
        <v>111</v>
      </c>
      <c r="C9" s="7" t="s">
        <v>86</v>
      </c>
      <c r="D9" s="7" t="s">
        <v>87</v>
      </c>
      <c r="E9" s="7" t="s">
        <v>112</v>
      </c>
      <c r="F9" s="7" t="s">
        <v>105</v>
      </c>
      <c r="G9" s="7" t="s">
        <v>102</v>
      </c>
      <c r="H9" s="7" t="s">
        <v>42</v>
      </c>
      <c r="I9" s="7" t="s">
        <v>92</v>
      </c>
      <c r="J9" s="7"/>
    </row>
    <row r="10" customFormat="false" ht="15" hidden="false" customHeight="false" outlineLevel="0" collapsed="false">
      <c r="A10" s="8" t="s">
        <v>113</v>
      </c>
      <c r="B10" s="8" t="s">
        <v>114</v>
      </c>
      <c r="C10" s="8" t="s">
        <v>86</v>
      </c>
      <c r="D10" s="8" t="s">
        <v>87</v>
      </c>
      <c r="E10" s="8" t="s">
        <v>112</v>
      </c>
      <c r="F10" s="8" t="s">
        <v>105</v>
      </c>
      <c r="G10" s="8" t="s">
        <v>109</v>
      </c>
      <c r="H10" s="8" t="s">
        <v>91</v>
      </c>
      <c r="I10" s="8" t="s">
        <v>92</v>
      </c>
      <c r="J10" s="8"/>
    </row>
    <row r="11" customFormat="false" ht="15" hidden="false" customHeight="false" outlineLevel="0" collapsed="false">
      <c r="A11" s="7" t="s">
        <v>115</v>
      </c>
      <c r="B11" s="7" t="s">
        <v>116</v>
      </c>
      <c r="C11" s="7" t="s">
        <v>86</v>
      </c>
      <c r="D11" s="7" t="s">
        <v>87</v>
      </c>
      <c r="E11" s="7" t="s">
        <v>112</v>
      </c>
      <c r="F11" s="7" t="s">
        <v>89</v>
      </c>
      <c r="G11" s="7" t="s">
        <v>117</v>
      </c>
      <c r="H11" s="7" t="s">
        <v>42</v>
      </c>
      <c r="I11" s="7" t="s">
        <v>92</v>
      </c>
      <c r="J11" s="7"/>
    </row>
    <row r="12" customFormat="false" ht="15" hidden="false" customHeight="false" outlineLevel="0" collapsed="false">
      <c r="A12" s="8" t="s">
        <v>118</v>
      </c>
      <c r="B12" s="8" t="s">
        <v>119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/>
    </row>
    <row r="13" customFormat="false" ht="15" hidden="false" customHeight="false" outlineLevel="0" collapsed="false">
      <c r="A13" s="7" t="s">
        <v>120</v>
      </c>
      <c r="B13" s="7" t="s">
        <v>121</v>
      </c>
      <c r="C13" s="7" t="s">
        <v>86</v>
      </c>
      <c r="D13" s="7" t="s">
        <v>87</v>
      </c>
      <c r="E13" s="7" t="s">
        <v>88</v>
      </c>
      <c r="F13" s="7" t="s">
        <v>105</v>
      </c>
      <c r="G13" s="7" t="s">
        <v>90</v>
      </c>
      <c r="H13" s="7" t="s">
        <v>91</v>
      </c>
      <c r="I13" s="7" t="s">
        <v>92</v>
      </c>
      <c r="J13" s="7"/>
    </row>
    <row r="14" customFormat="false" ht="15" hidden="false" customHeight="false" outlineLevel="0" collapsed="false">
      <c r="A14" s="8" t="s">
        <v>122</v>
      </c>
      <c r="B14" s="8" t="s">
        <v>123</v>
      </c>
      <c r="C14" s="8" t="s">
        <v>86</v>
      </c>
      <c r="D14" s="8" t="s">
        <v>87</v>
      </c>
      <c r="E14" s="8" t="s">
        <v>108</v>
      </c>
      <c r="F14" s="8" t="s">
        <v>89</v>
      </c>
      <c r="G14" s="8" t="s">
        <v>90</v>
      </c>
      <c r="H14" s="8" t="s">
        <v>42</v>
      </c>
      <c r="I14" s="8" t="s">
        <v>92</v>
      </c>
      <c r="J14" s="8"/>
    </row>
    <row r="15" customFormat="false" ht="15" hidden="false" customHeight="false" outlineLevel="0" collapsed="false">
      <c r="A15" s="7" t="s">
        <v>124</v>
      </c>
      <c r="B15" s="7" t="s">
        <v>125</v>
      </c>
      <c r="C15" s="7" t="s">
        <v>86</v>
      </c>
      <c r="D15" s="7" t="s">
        <v>87</v>
      </c>
      <c r="E15" s="7" t="s">
        <v>88</v>
      </c>
      <c r="F15" s="7" t="s">
        <v>89</v>
      </c>
      <c r="G15" s="7" t="s">
        <v>90</v>
      </c>
      <c r="H15" s="7" t="s">
        <v>46</v>
      </c>
      <c r="I15" s="7" t="s">
        <v>92</v>
      </c>
      <c r="J15" s="7"/>
    </row>
    <row r="16" customFormat="false" ht="15" hidden="false" customHeight="false" outlineLevel="0" collapsed="false">
      <c r="A16" s="8" t="s">
        <v>126</v>
      </c>
      <c r="B16" s="8" t="s">
        <v>127</v>
      </c>
      <c r="C16" s="8" t="s">
        <v>86</v>
      </c>
      <c r="D16" s="8" t="s">
        <v>87</v>
      </c>
      <c r="E16" s="8" t="s">
        <v>88</v>
      </c>
      <c r="F16" s="8" t="s">
        <v>89</v>
      </c>
      <c r="G16" s="8" t="s">
        <v>102</v>
      </c>
      <c r="H16" s="8" t="s">
        <v>46</v>
      </c>
      <c r="I16" s="8" t="s">
        <v>92</v>
      </c>
      <c r="J16" s="8"/>
    </row>
    <row r="17" customFormat="false" ht="15" hidden="false" customHeight="false" outlineLevel="0" collapsed="false">
      <c r="A17" s="7" t="s">
        <v>128</v>
      </c>
      <c r="B17" s="7" t="s">
        <v>129</v>
      </c>
      <c r="C17" s="7" t="s">
        <v>86</v>
      </c>
      <c r="D17" s="7" t="s">
        <v>87</v>
      </c>
      <c r="E17" s="7" t="s">
        <v>88</v>
      </c>
      <c r="F17" s="7" t="s">
        <v>89</v>
      </c>
      <c r="G17" s="7" t="s">
        <v>90</v>
      </c>
      <c r="H17" s="7" t="s">
        <v>42</v>
      </c>
      <c r="I17" s="7" t="s">
        <v>92</v>
      </c>
      <c r="J17" s="7"/>
    </row>
    <row r="18" customFormat="false" ht="15" hidden="false" customHeight="false" outlineLevel="0" collapsed="false">
      <c r="A18" s="8" t="s">
        <v>130</v>
      </c>
      <c r="B18" s="8" t="s">
        <v>131</v>
      </c>
      <c r="C18" s="8" t="s">
        <v>86</v>
      </c>
      <c r="D18" s="8" t="s">
        <v>87</v>
      </c>
      <c r="E18" s="8" t="s">
        <v>88</v>
      </c>
      <c r="F18" s="8" t="s">
        <v>89</v>
      </c>
      <c r="G18" s="8" t="s">
        <v>109</v>
      </c>
      <c r="H18" s="8" t="s">
        <v>42</v>
      </c>
      <c r="I18" s="8" t="s">
        <v>92</v>
      </c>
      <c r="J18" s="8"/>
    </row>
    <row r="19" customFormat="false" ht="15" hidden="false" customHeight="false" outlineLevel="0" collapsed="false">
      <c r="A19" s="7" t="s">
        <v>132</v>
      </c>
      <c r="B19" s="7" t="s">
        <v>133</v>
      </c>
      <c r="C19" s="7" t="s">
        <v>86</v>
      </c>
      <c r="D19" s="7" t="s">
        <v>87</v>
      </c>
      <c r="E19" s="7" t="s">
        <v>134</v>
      </c>
      <c r="F19" s="7" t="s">
        <v>89</v>
      </c>
      <c r="G19" s="7" t="s">
        <v>135</v>
      </c>
      <c r="H19" s="7" t="s">
        <v>42</v>
      </c>
      <c r="I19" s="7" t="s">
        <v>92</v>
      </c>
      <c r="J19" s="7"/>
    </row>
    <row r="20" customFormat="false" ht="15" hidden="false" customHeight="false" outlineLevel="0" collapsed="false">
      <c r="A20" s="8" t="s">
        <v>136</v>
      </c>
      <c r="B20" s="8" t="s">
        <v>137</v>
      </c>
      <c r="C20" s="8" t="s">
        <v>86</v>
      </c>
      <c r="D20" s="8" t="s">
        <v>138</v>
      </c>
      <c r="E20" s="8" t="s">
        <v>139</v>
      </c>
      <c r="F20" s="8" t="s">
        <v>105</v>
      </c>
      <c r="G20" s="8" t="s">
        <v>102</v>
      </c>
      <c r="H20" s="8" t="s">
        <v>42</v>
      </c>
      <c r="I20" s="8" t="s">
        <v>92</v>
      </c>
      <c r="J20" s="8"/>
    </row>
    <row r="21" customFormat="false" ht="15" hidden="false" customHeight="false" outlineLevel="0" collapsed="false">
      <c r="A21" s="7" t="s">
        <v>140</v>
      </c>
      <c r="B21" s="7" t="s">
        <v>141</v>
      </c>
      <c r="C21" s="7" t="s">
        <v>86</v>
      </c>
      <c r="D21" s="7" t="s">
        <v>138</v>
      </c>
      <c r="E21" s="7" t="s">
        <v>88</v>
      </c>
      <c r="F21" s="7" t="s">
        <v>89</v>
      </c>
      <c r="G21" s="7" t="s">
        <v>90</v>
      </c>
      <c r="H21" s="7" t="s">
        <v>46</v>
      </c>
      <c r="I21" s="7" t="s">
        <v>92</v>
      </c>
      <c r="J21" s="7"/>
    </row>
    <row r="22" customFormat="false" ht="15" hidden="false" customHeight="false" outlineLevel="0" collapsed="false">
      <c r="A22" s="8" t="s">
        <v>142</v>
      </c>
      <c r="B22" s="8" t="s">
        <v>143</v>
      </c>
      <c r="C22" s="8" t="s">
        <v>86</v>
      </c>
      <c r="D22" s="8" t="s">
        <v>138</v>
      </c>
      <c r="E22" s="8" t="s">
        <v>88</v>
      </c>
      <c r="F22" s="8" t="s">
        <v>105</v>
      </c>
      <c r="G22" s="8" t="s">
        <v>109</v>
      </c>
      <c r="H22" s="8" t="s">
        <v>42</v>
      </c>
      <c r="I22" s="8" t="s">
        <v>92</v>
      </c>
      <c r="J22" s="8"/>
    </row>
    <row r="23" customFormat="false" ht="15" hidden="false" customHeight="false" outlineLevel="0" collapsed="false">
      <c r="A23" s="7" t="s">
        <v>144</v>
      </c>
      <c r="B23" s="7" t="s">
        <v>145</v>
      </c>
      <c r="C23" s="7" t="s">
        <v>86</v>
      </c>
      <c r="D23" s="7" t="s">
        <v>138</v>
      </c>
      <c r="E23" s="7" t="s">
        <v>88</v>
      </c>
      <c r="F23" s="7" t="s">
        <v>89</v>
      </c>
      <c r="G23" s="7" t="s">
        <v>90</v>
      </c>
      <c r="H23" s="7" t="s">
        <v>42</v>
      </c>
      <c r="I23" s="7" t="s">
        <v>92</v>
      </c>
      <c r="J23" s="7"/>
    </row>
    <row r="24" customFormat="false" ht="15" hidden="false" customHeight="false" outlineLevel="0" collapsed="false">
      <c r="A24" s="8" t="s">
        <v>146</v>
      </c>
      <c r="B24" s="8" t="s">
        <v>147</v>
      </c>
      <c r="C24" s="8" t="s">
        <v>86</v>
      </c>
      <c r="D24" s="8" t="s">
        <v>138</v>
      </c>
      <c r="E24" s="8" t="s">
        <v>88</v>
      </c>
      <c r="F24" s="8" t="s">
        <v>89</v>
      </c>
      <c r="G24" s="8" t="s">
        <v>90</v>
      </c>
      <c r="H24" s="8" t="s">
        <v>42</v>
      </c>
      <c r="I24" s="8" t="s">
        <v>92</v>
      </c>
      <c r="J24" s="8"/>
    </row>
    <row r="25" customFormat="false" ht="15" hidden="false" customHeight="false" outlineLevel="0" collapsed="false">
      <c r="A25" s="7" t="s">
        <v>148</v>
      </c>
      <c r="B25" s="7" t="s">
        <v>149</v>
      </c>
      <c r="C25" s="7" t="s">
        <v>86</v>
      </c>
      <c r="D25" s="7" t="s">
        <v>138</v>
      </c>
      <c r="E25" s="7" t="s">
        <v>150</v>
      </c>
      <c r="F25" s="7" t="s">
        <v>105</v>
      </c>
      <c r="G25" s="7" t="s">
        <v>90</v>
      </c>
      <c r="H25" s="7" t="s">
        <v>91</v>
      </c>
      <c r="I25" s="7" t="s">
        <v>92</v>
      </c>
      <c r="J25" s="7"/>
    </row>
    <row r="26" customFormat="false" ht="15" hidden="false" customHeight="false" outlineLevel="0" collapsed="false">
      <c r="A26" s="8" t="s">
        <v>151</v>
      </c>
      <c r="B26" s="8" t="s">
        <v>152</v>
      </c>
      <c r="C26" s="8" t="s">
        <v>86</v>
      </c>
      <c r="D26" s="8" t="s">
        <v>138</v>
      </c>
      <c r="E26" s="8" t="s">
        <v>108</v>
      </c>
      <c r="F26" s="8" t="s">
        <v>89</v>
      </c>
      <c r="G26" s="8" t="s">
        <v>90</v>
      </c>
      <c r="H26" s="8" t="s">
        <v>91</v>
      </c>
      <c r="I26" s="8" t="s">
        <v>92</v>
      </c>
      <c r="J26" s="8"/>
    </row>
    <row r="27" customFormat="false" ht="15" hidden="false" customHeight="false" outlineLevel="0" collapsed="false">
      <c r="A27" s="7" t="s">
        <v>153</v>
      </c>
      <c r="B27" s="7" t="s">
        <v>154</v>
      </c>
      <c r="C27" s="7" t="s">
        <v>86</v>
      </c>
      <c r="D27" s="7" t="s">
        <v>138</v>
      </c>
      <c r="E27" s="7" t="s">
        <v>88</v>
      </c>
      <c r="F27" s="7" t="s">
        <v>89</v>
      </c>
      <c r="G27" s="7" t="s">
        <v>90</v>
      </c>
      <c r="H27" s="7" t="s">
        <v>91</v>
      </c>
      <c r="I27" s="7" t="s">
        <v>92</v>
      </c>
      <c r="J27" s="7"/>
    </row>
    <row r="28" customFormat="false" ht="15" hidden="false" customHeight="false" outlineLevel="0" collapsed="false">
      <c r="A28" s="8" t="s">
        <v>155</v>
      </c>
      <c r="B28" s="8" t="s">
        <v>156</v>
      </c>
      <c r="C28" s="8" t="s">
        <v>86</v>
      </c>
      <c r="D28" s="8" t="s">
        <v>138</v>
      </c>
      <c r="E28" s="8" t="s">
        <v>88</v>
      </c>
      <c r="F28" s="8" t="s">
        <v>89</v>
      </c>
      <c r="G28" s="8" t="s">
        <v>102</v>
      </c>
      <c r="H28" s="8" t="s">
        <v>91</v>
      </c>
      <c r="I28" s="8" t="s">
        <v>92</v>
      </c>
      <c r="J28" s="8"/>
    </row>
    <row r="29" customFormat="false" ht="15" hidden="false" customHeight="false" outlineLevel="0" collapsed="false">
      <c r="A29" s="7" t="s">
        <v>157</v>
      </c>
      <c r="B29" s="7" t="s">
        <v>158</v>
      </c>
      <c r="C29" s="7" t="s">
        <v>86</v>
      </c>
      <c r="D29" s="7" t="s">
        <v>138</v>
      </c>
      <c r="E29" s="7" t="s">
        <v>108</v>
      </c>
      <c r="F29" s="7" t="s">
        <v>89</v>
      </c>
      <c r="G29" s="7" t="s">
        <v>109</v>
      </c>
      <c r="H29" s="7" t="s">
        <v>54</v>
      </c>
      <c r="I29" s="7" t="s">
        <v>92</v>
      </c>
      <c r="J29" s="7"/>
    </row>
    <row r="30" customFormat="false" ht="15" hidden="false" customHeight="false" outlineLevel="0" collapsed="false">
      <c r="A30" s="8" t="s">
        <v>159</v>
      </c>
      <c r="B30" s="8" t="s">
        <v>160</v>
      </c>
      <c r="C30" s="8" t="s">
        <v>86</v>
      </c>
      <c r="D30" s="8" t="s">
        <v>138</v>
      </c>
      <c r="E30" s="8" t="s">
        <v>88</v>
      </c>
      <c r="F30" s="8" t="s">
        <v>89</v>
      </c>
      <c r="G30" s="8" t="s">
        <v>90</v>
      </c>
      <c r="H30" s="8" t="s">
        <v>91</v>
      </c>
      <c r="I30" s="8" t="s">
        <v>92</v>
      </c>
      <c r="J30" s="8"/>
    </row>
    <row r="31" customFormat="false" ht="15" hidden="false" customHeight="false" outlineLevel="0" collapsed="false">
      <c r="A31" s="7" t="s">
        <v>161</v>
      </c>
      <c r="B31" s="7" t="s">
        <v>162</v>
      </c>
      <c r="C31" s="7" t="s">
        <v>86</v>
      </c>
      <c r="D31" s="7" t="s">
        <v>163</v>
      </c>
      <c r="E31" s="7" t="s">
        <v>88</v>
      </c>
      <c r="F31" s="7" t="s">
        <v>105</v>
      </c>
      <c r="G31" s="7" t="s">
        <v>109</v>
      </c>
      <c r="H31" s="7" t="s">
        <v>42</v>
      </c>
      <c r="I31" s="7" t="s">
        <v>92</v>
      </c>
      <c r="J31" s="7"/>
    </row>
    <row r="32" customFormat="false" ht="15" hidden="false" customHeight="false" outlineLevel="0" collapsed="false">
      <c r="A32" s="8" t="s">
        <v>164</v>
      </c>
      <c r="B32" s="8" t="s">
        <v>165</v>
      </c>
      <c r="C32" s="8" t="s">
        <v>86</v>
      </c>
      <c r="D32" s="8" t="s">
        <v>163</v>
      </c>
      <c r="E32" s="8" t="s">
        <v>108</v>
      </c>
      <c r="F32" s="8" t="s">
        <v>89</v>
      </c>
      <c r="G32" s="8" t="s">
        <v>90</v>
      </c>
      <c r="H32" s="8" t="s">
        <v>42</v>
      </c>
      <c r="I32" s="8" t="s">
        <v>92</v>
      </c>
      <c r="J32" s="8"/>
    </row>
    <row r="33" customFormat="false" ht="15" hidden="false" customHeight="false" outlineLevel="0" collapsed="false">
      <c r="A33" s="7" t="s">
        <v>166</v>
      </c>
      <c r="B33" s="7" t="s">
        <v>167</v>
      </c>
      <c r="C33" s="7" t="s">
        <v>86</v>
      </c>
      <c r="D33" s="7" t="s">
        <v>163</v>
      </c>
      <c r="E33" s="7" t="s">
        <v>108</v>
      </c>
      <c r="F33" s="7" t="s">
        <v>105</v>
      </c>
      <c r="G33" s="7" t="s">
        <v>90</v>
      </c>
      <c r="H33" s="7" t="s">
        <v>91</v>
      </c>
      <c r="I33" s="7" t="s">
        <v>92</v>
      </c>
      <c r="J33" s="7"/>
    </row>
    <row r="34" customFormat="false" ht="15" hidden="false" customHeight="false" outlineLevel="0" collapsed="false">
      <c r="A34" s="8" t="s">
        <v>168</v>
      </c>
      <c r="B34" s="8" t="s">
        <v>169</v>
      </c>
      <c r="C34" s="8" t="s">
        <v>86</v>
      </c>
      <c r="D34" s="8" t="s">
        <v>163</v>
      </c>
      <c r="E34" s="8" t="s">
        <v>88</v>
      </c>
      <c r="F34" s="8" t="s">
        <v>89</v>
      </c>
      <c r="G34" s="8" t="s">
        <v>102</v>
      </c>
      <c r="H34" s="8" t="s">
        <v>46</v>
      </c>
      <c r="I34" s="8" t="s">
        <v>92</v>
      </c>
      <c r="J34" s="8"/>
    </row>
    <row r="35" customFormat="false" ht="15" hidden="false" customHeight="false" outlineLevel="0" collapsed="false">
      <c r="A35" s="7" t="s">
        <v>170</v>
      </c>
      <c r="B35" s="7" t="s">
        <v>171</v>
      </c>
      <c r="C35" s="7" t="s">
        <v>86</v>
      </c>
      <c r="D35" s="7" t="s">
        <v>92</v>
      </c>
      <c r="E35" s="7" t="s">
        <v>108</v>
      </c>
      <c r="F35" s="7" t="s">
        <v>105</v>
      </c>
      <c r="G35" s="7" t="s">
        <v>109</v>
      </c>
      <c r="H35" s="7" t="s">
        <v>46</v>
      </c>
      <c r="I35" s="7" t="s">
        <v>92</v>
      </c>
      <c r="J35" s="7"/>
    </row>
    <row r="36" customFormat="false" ht="15" hidden="false" customHeight="false" outlineLevel="0" collapsed="false">
      <c r="A36" s="8" t="s">
        <v>172</v>
      </c>
      <c r="B36" s="8" t="s">
        <v>173</v>
      </c>
      <c r="C36" s="8" t="s">
        <v>86</v>
      </c>
      <c r="D36" s="8" t="s">
        <v>92</v>
      </c>
      <c r="E36" s="8" t="s">
        <v>108</v>
      </c>
      <c r="F36" s="8" t="s">
        <v>105</v>
      </c>
      <c r="G36" s="8" t="s">
        <v>117</v>
      </c>
      <c r="H36" s="8" t="s">
        <v>42</v>
      </c>
      <c r="I36" s="8" t="s">
        <v>92</v>
      </c>
      <c r="J36" s="8"/>
    </row>
    <row r="37" customFormat="false" ht="15" hidden="false" customHeight="false" outlineLevel="0" collapsed="false">
      <c r="A37" s="7" t="s">
        <v>174</v>
      </c>
      <c r="B37" s="7" t="s">
        <v>175</v>
      </c>
      <c r="C37" s="7" t="s">
        <v>86</v>
      </c>
      <c r="D37" s="7" t="s">
        <v>91</v>
      </c>
      <c r="E37" s="7" t="s">
        <v>150</v>
      </c>
      <c r="F37" s="7" t="s">
        <v>105</v>
      </c>
      <c r="G37" s="7" t="s">
        <v>135</v>
      </c>
      <c r="H37" s="7" t="s">
        <v>91</v>
      </c>
      <c r="I37" s="7" t="s">
        <v>92</v>
      </c>
      <c r="J37" s="7"/>
    </row>
    <row r="38" customFormat="false" ht="15" hidden="false" customHeight="false" outlineLevel="0" collapsed="false">
      <c r="A38" s="8" t="s">
        <v>176</v>
      </c>
      <c r="B38" s="8" t="s">
        <v>177</v>
      </c>
      <c r="C38" s="8" t="s">
        <v>86</v>
      </c>
      <c r="D38" s="8" t="s">
        <v>91</v>
      </c>
      <c r="E38" s="8" t="s">
        <v>150</v>
      </c>
      <c r="F38" s="8" t="s">
        <v>105</v>
      </c>
      <c r="G38" s="8" t="s">
        <v>135</v>
      </c>
      <c r="H38" s="8" t="s">
        <v>91</v>
      </c>
      <c r="I38" s="8" t="s">
        <v>92</v>
      </c>
      <c r="J38" s="8"/>
    </row>
    <row r="39" customFormat="false" ht="15" hidden="false" customHeight="false" outlineLevel="0" collapsed="false">
      <c r="A39" s="7" t="s">
        <v>178</v>
      </c>
      <c r="B39" s="7" t="s">
        <v>179</v>
      </c>
      <c r="C39" s="7" t="s">
        <v>86</v>
      </c>
      <c r="D39" s="7" t="s">
        <v>91</v>
      </c>
      <c r="E39" s="7" t="s">
        <v>150</v>
      </c>
      <c r="F39" s="7" t="s">
        <v>105</v>
      </c>
      <c r="G39" s="7" t="s">
        <v>135</v>
      </c>
      <c r="H39" s="7" t="s">
        <v>91</v>
      </c>
      <c r="I39" s="7" t="s">
        <v>92</v>
      </c>
      <c r="J39" s="7"/>
    </row>
    <row r="40" customFormat="false" ht="15" hidden="false" customHeight="false" outlineLevel="0" collapsed="false">
      <c r="A40" s="9" t="s">
        <v>180</v>
      </c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5" hidden="false" customHeight="false" outlineLevel="0" collapsed="false">
      <c r="A41" s="7" t="s">
        <v>181</v>
      </c>
      <c r="B41" s="7" t="s">
        <v>182</v>
      </c>
      <c r="C41" s="7" t="s">
        <v>183</v>
      </c>
      <c r="D41" s="7" t="s">
        <v>87</v>
      </c>
      <c r="E41" s="7" t="s">
        <v>88</v>
      </c>
      <c r="F41" s="7" t="s">
        <v>89</v>
      </c>
      <c r="G41" s="7" t="s">
        <v>109</v>
      </c>
      <c r="H41" s="7" t="s">
        <v>54</v>
      </c>
      <c r="I41" s="7" t="s">
        <v>92</v>
      </c>
      <c r="J41" s="7" t="s">
        <v>184</v>
      </c>
    </row>
    <row r="42" customFormat="false" ht="15" hidden="false" customHeight="false" outlineLevel="0" collapsed="false">
      <c r="A42" s="8" t="s">
        <v>185</v>
      </c>
      <c r="B42" s="8" t="s">
        <v>186</v>
      </c>
      <c r="C42" s="8" t="s">
        <v>183</v>
      </c>
      <c r="D42" s="8" t="s">
        <v>87</v>
      </c>
      <c r="E42" s="8" t="s">
        <v>187</v>
      </c>
      <c r="F42" s="8" t="s">
        <v>89</v>
      </c>
      <c r="G42" s="8" t="s">
        <v>135</v>
      </c>
      <c r="H42" s="8" t="s">
        <v>91</v>
      </c>
      <c r="I42" s="8" t="s">
        <v>92</v>
      </c>
      <c r="J42" s="8"/>
    </row>
    <row r="43" customFormat="false" ht="15" hidden="false" customHeight="false" outlineLevel="0" collapsed="false">
      <c r="A43" s="7" t="s">
        <v>188</v>
      </c>
      <c r="B43" s="7" t="s">
        <v>189</v>
      </c>
      <c r="C43" s="7" t="s">
        <v>183</v>
      </c>
      <c r="D43" s="7" t="s">
        <v>87</v>
      </c>
      <c r="E43" s="7" t="s">
        <v>190</v>
      </c>
      <c r="F43" s="7" t="s">
        <v>191</v>
      </c>
      <c r="G43" s="7" t="s">
        <v>135</v>
      </c>
      <c r="H43" s="7" t="s">
        <v>91</v>
      </c>
      <c r="I43" s="7" t="s">
        <v>92</v>
      </c>
      <c r="J43" s="7"/>
    </row>
    <row r="44" customFormat="false" ht="15" hidden="false" customHeight="false" outlineLevel="0" collapsed="false">
      <c r="A44" s="8" t="s">
        <v>192</v>
      </c>
      <c r="B44" s="8" t="s">
        <v>193</v>
      </c>
      <c r="C44" s="8" t="s">
        <v>183</v>
      </c>
      <c r="D44" s="8" t="s">
        <v>138</v>
      </c>
      <c r="E44" s="8" t="s">
        <v>134</v>
      </c>
      <c r="F44" s="8" t="s">
        <v>89</v>
      </c>
      <c r="G44" s="8" t="s">
        <v>90</v>
      </c>
      <c r="H44" s="8" t="s">
        <v>91</v>
      </c>
      <c r="I44" s="8" t="s">
        <v>92</v>
      </c>
      <c r="J44" s="8"/>
    </row>
    <row r="45" customFormat="false" ht="15" hidden="false" customHeight="false" outlineLevel="0" collapsed="false">
      <c r="A45" s="7" t="s">
        <v>194</v>
      </c>
      <c r="B45" s="7" t="s">
        <v>195</v>
      </c>
      <c r="C45" s="7" t="s">
        <v>183</v>
      </c>
      <c r="D45" s="7" t="s">
        <v>138</v>
      </c>
      <c r="E45" s="7" t="s">
        <v>134</v>
      </c>
      <c r="F45" s="7" t="s">
        <v>89</v>
      </c>
      <c r="G45" s="7" t="s">
        <v>109</v>
      </c>
      <c r="H45" s="7" t="s">
        <v>54</v>
      </c>
      <c r="I45" s="7" t="s">
        <v>92</v>
      </c>
      <c r="J45" s="7"/>
    </row>
    <row r="46" customFormat="false" ht="15" hidden="false" customHeight="false" outlineLevel="0" collapsed="false">
      <c r="A46" s="8" t="s">
        <v>196</v>
      </c>
      <c r="B46" s="8" t="s">
        <v>197</v>
      </c>
      <c r="C46" s="8" t="s">
        <v>183</v>
      </c>
      <c r="D46" s="8" t="s">
        <v>91</v>
      </c>
      <c r="E46" s="8" t="s">
        <v>198</v>
      </c>
      <c r="F46" s="8" t="s">
        <v>199</v>
      </c>
      <c r="G46" s="8" t="s">
        <v>109</v>
      </c>
      <c r="H46" s="8" t="s">
        <v>91</v>
      </c>
      <c r="I46" s="8" t="s">
        <v>92</v>
      </c>
      <c r="J46" s="8"/>
    </row>
    <row r="47" customFormat="false" ht="15" hidden="false" customHeight="false" outlineLevel="0" collapsed="false">
      <c r="A47" s="9" t="s">
        <v>200</v>
      </c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A48" s="7" t="s">
        <v>201</v>
      </c>
      <c r="B48" s="7" t="s">
        <v>202</v>
      </c>
      <c r="C48" s="7" t="s">
        <v>203</v>
      </c>
      <c r="D48" s="7" t="s">
        <v>87</v>
      </c>
      <c r="E48" s="7" t="s">
        <v>187</v>
      </c>
      <c r="F48" s="7" t="s">
        <v>89</v>
      </c>
      <c r="G48" s="7" t="s">
        <v>90</v>
      </c>
      <c r="H48" s="7" t="s">
        <v>91</v>
      </c>
      <c r="I48" s="7" t="s">
        <v>163</v>
      </c>
      <c r="J48" s="7" t="s">
        <v>204</v>
      </c>
    </row>
    <row r="49" customFormat="false" ht="15" hidden="false" customHeight="false" outlineLevel="0" collapsed="false">
      <c r="A49" s="8" t="s">
        <v>205</v>
      </c>
      <c r="B49" s="8" t="s">
        <v>206</v>
      </c>
      <c r="C49" s="8" t="s">
        <v>203</v>
      </c>
      <c r="D49" s="8" t="s">
        <v>87</v>
      </c>
      <c r="E49" s="8" t="s">
        <v>88</v>
      </c>
      <c r="F49" s="8" t="s">
        <v>89</v>
      </c>
      <c r="G49" s="8" t="s">
        <v>90</v>
      </c>
      <c r="H49" s="8" t="s">
        <v>54</v>
      </c>
      <c r="I49" s="8" t="s">
        <v>138</v>
      </c>
      <c r="J49" s="8" t="s">
        <v>207</v>
      </c>
    </row>
    <row r="50" customFormat="false" ht="15" hidden="false" customHeight="false" outlineLevel="0" collapsed="false">
      <c r="A50" s="7" t="s">
        <v>208</v>
      </c>
      <c r="B50" s="7" t="s">
        <v>209</v>
      </c>
      <c r="C50" s="7" t="s">
        <v>203</v>
      </c>
      <c r="D50" s="7" t="s">
        <v>87</v>
      </c>
      <c r="E50" s="7" t="s">
        <v>210</v>
      </c>
      <c r="F50" s="7" t="s">
        <v>89</v>
      </c>
      <c r="G50" s="7" t="s">
        <v>109</v>
      </c>
      <c r="H50" s="7" t="s">
        <v>91</v>
      </c>
      <c r="I50" s="7" t="s">
        <v>163</v>
      </c>
      <c r="J50" s="7" t="s">
        <v>211</v>
      </c>
    </row>
    <row r="51" customFormat="false" ht="15" hidden="false" customHeight="false" outlineLevel="0" collapsed="false">
      <c r="A51" s="8" t="s">
        <v>212</v>
      </c>
      <c r="B51" s="8" t="s">
        <v>213</v>
      </c>
      <c r="C51" s="8" t="s">
        <v>203</v>
      </c>
      <c r="D51" s="8" t="s">
        <v>87</v>
      </c>
      <c r="E51" s="8" t="s">
        <v>88</v>
      </c>
      <c r="F51" s="8" t="s">
        <v>89</v>
      </c>
      <c r="G51" s="8" t="s">
        <v>90</v>
      </c>
      <c r="H51" s="8" t="s">
        <v>42</v>
      </c>
      <c r="I51" s="8" t="s">
        <v>92</v>
      </c>
      <c r="J51" s="8"/>
    </row>
    <row r="52" customFormat="false" ht="15" hidden="false" customHeight="false" outlineLevel="0" collapsed="false">
      <c r="A52" s="7" t="s">
        <v>214</v>
      </c>
      <c r="B52" s="7" t="s">
        <v>215</v>
      </c>
      <c r="C52" s="7" t="s">
        <v>203</v>
      </c>
      <c r="D52" s="7" t="s">
        <v>138</v>
      </c>
      <c r="E52" s="7" t="s">
        <v>95</v>
      </c>
      <c r="F52" s="7" t="s">
        <v>89</v>
      </c>
      <c r="G52" s="7" t="s">
        <v>109</v>
      </c>
      <c r="H52" s="7" t="s">
        <v>91</v>
      </c>
      <c r="I52" s="7" t="s">
        <v>163</v>
      </c>
      <c r="J52" s="7"/>
    </row>
    <row r="53" customFormat="false" ht="15" hidden="false" customHeight="false" outlineLevel="0" collapsed="false">
      <c r="A53" s="8" t="s">
        <v>216</v>
      </c>
      <c r="B53" s="8" t="s">
        <v>217</v>
      </c>
      <c r="C53" s="8" t="s">
        <v>203</v>
      </c>
      <c r="D53" s="8" t="s">
        <v>163</v>
      </c>
      <c r="E53" s="8" t="s">
        <v>210</v>
      </c>
      <c r="F53" s="8" t="s">
        <v>89</v>
      </c>
      <c r="G53" s="8" t="s">
        <v>109</v>
      </c>
      <c r="H53" s="8" t="s">
        <v>46</v>
      </c>
      <c r="I53" s="8" t="s">
        <v>92</v>
      </c>
      <c r="J53" s="8"/>
    </row>
    <row r="54" customFormat="false" ht="15" hidden="false" customHeight="false" outlineLevel="0" collapsed="false">
      <c r="A54" s="9" t="s">
        <v>218</v>
      </c>
      <c r="B54" s="9"/>
      <c r="C54" s="9"/>
      <c r="D54" s="9"/>
      <c r="E54" s="9"/>
      <c r="F54" s="9"/>
      <c r="G54" s="9"/>
      <c r="H54" s="9"/>
      <c r="I54" s="9"/>
      <c r="J54" s="9"/>
    </row>
    <row r="55" customFormat="false" ht="15" hidden="false" customHeight="false" outlineLevel="0" collapsed="false">
      <c r="A55" s="7" t="s">
        <v>219</v>
      </c>
      <c r="B55" s="7" t="s">
        <v>220</v>
      </c>
      <c r="C55" s="7" t="s">
        <v>221</v>
      </c>
      <c r="D55" s="7" t="s">
        <v>87</v>
      </c>
      <c r="E55" s="7" t="s">
        <v>108</v>
      </c>
      <c r="F55" s="7" t="s">
        <v>89</v>
      </c>
      <c r="G55" s="7" t="s">
        <v>90</v>
      </c>
      <c r="H55" s="7" t="s">
        <v>91</v>
      </c>
      <c r="I55" s="7" t="s">
        <v>163</v>
      </c>
      <c r="J55" s="7"/>
    </row>
    <row r="56" customFormat="false" ht="15" hidden="false" customHeight="false" outlineLevel="0" collapsed="false">
      <c r="A56" s="8" t="s">
        <v>222</v>
      </c>
      <c r="B56" s="8" t="s">
        <v>223</v>
      </c>
      <c r="C56" s="8" t="s">
        <v>221</v>
      </c>
      <c r="D56" s="8" t="s">
        <v>87</v>
      </c>
      <c r="E56" s="8" t="s">
        <v>108</v>
      </c>
      <c r="F56" s="8" t="s">
        <v>89</v>
      </c>
      <c r="G56" s="8" t="s">
        <v>90</v>
      </c>
      <c r="H56" s="8" t="s">
        <v>91</v>
      </c>
      <c r="I56" s="8" t="s">
        <v>163</v>
      </c>
      <c r="J56" s="8" t="s">
        <v>224</v>
      </c>
    </row>
    <row r="57" customFormat="false" ht="15" hidden="false" customHeight="false" outlineLevel="0" collapsed="false">
      <c r="A57" s="7" t="s">
        <v>225</v>
      </c>
      <c r="B57" s="7" t="s">
        <v>226</v>
      </c>
      <c r="C57" s="7" t="s">
        <v>221</v>
      </c>
      <c r="D57" s="7" t="s">
        <v>87</v>
      </c>
      <c r="E57" s="7" t="s">
        <v>108</v>
      </c>
      <c r="F57" s="7" t="s">
        <v>89</v>
      </c>
      <c r="G57" s="7" t="s">
        <v>90</v>
      </c>
      <c r="H57" s="7" t="s">
        <v>91</v>
      </c>
      <c r="I57" s="7" t="s">
        <v>163</v>
      </c>
      <c r="J57" s="7" t="s">
        <v>224</v>
      </c>
    </row>
    <row r="58" customFormat="false" ht="15" hidden="false" customHeight="false" outlineLevel="0" collapsed="false">
      <c r="A58" s="8" t="s">
        <v>227</v>
      </c>
      <c r="B58" s="8" t="s">
        <v>228</v>
      </c>
      <c r="C58" s="8" t="s">
        <v>221</v>
      </c>
      <c r="D58" s="8" t="s">
        <v>87</v>
      </c>
      <c r="E58" s="8" t="s">
        <v>88</v>
      </c>
      <c r="F58" s="8" t="s">
        <v>89</v>
      </c>
      <c r="G58" s="8" t="s">
        <v>90</v>
      </c>
      <c r="H58" s="8" t="s">
        <v>91</v>
      </c>
      <c r="I58" s="8" t="s">
        <v>92</v>
      </c>
      <c r="J58" s="8"/>
    </row>
    <row r="59" customFormat="false" ht="15" hidden="false" customHeight="false" outlineLevel="0" collapsed="false">
      <c r="A59" s="7" t="s">
        <v>229</v>
      </c>
      <c r="B59" s="7" t="s">
        <v>230</v>
      </c>
      <c r="C59" s="7" t="s">
        <v>221</v>
      </c>
      <c r="D59" s="7" t="s">
        <v>87</v>
      </c>
      <c r="E59" s="7" t="s">
        <v>108</v>
      </c>
      <c r="F59" s="7" t="s">
        <v>89</v>
      </c>
      <c r="G59" s="7" t="s">
        <v>109</v>
      </c>
      <c r="H59" s="7" t="s">
        <v>46</v>
      </c>
      <c r="I59" s="7" t="s">
        <v>92</v>
      </c>
      <c r="J59" s="7"/>
    </row>
    <row r="60" customFormat="false" ht="15" hidden="false" customHeight="false" outlineLevel="0" collapsed="false">
      <c r="A60" s="8" t="s">
        <v>231</v>
      </c>
      <c r="B60" s="8" t="s">
        <v>232</v>
      </c>
      <c r="C60" s="8" t="s">
        <v>221</v>
      </c>
      <c r="D60" s="8" t="s">
        <v>87</v>
      </c>
      <c r="E60" s="8" t="s">
        <v>233</v>
      </c>
      <c r="F60" s="8" t="s">
        <v>96</v>
      </c>
      <c r="G60" s="8" t="s">
        <v>117</v>
      </c>
      <c r="H60" s="8" t="s">
        <v>42</v>
      </c>
      <c r="I60" s="8" t="s">
        <v>92</v>
      </c>
      <c r="J60" s="8"/>
    </row>
    <row r="61" customFormat="false" ht="15" hidden="false" customHeight="false" outlineLevel="0" collapsed="false">
      <c r="A61" s="7" t="s">
        <v>234</v>
      </c>
      <c r="B61" s="7" t="s">
        <v>235</v>
      </c>
      <c r="C61" s="7" t="s">
        <v>221</v>
      </c>
      <c r="D61" s="7" t="s">
        <v>87</v>
      </c>
      <c r="E61" s="7" t="s">
        <v>88</v>
      </c>
      <c r="F61" s="7" t="s">
        <v>89</v>
      </c>
      <c r="G61" s="7" t="s">
        <v>109</v>
      </c>
      <c r="H61" s="7" t="s">
        <v>70</v>
      </c>
      <c r="I61" s="7" t="s">
        <v>138</v>
      </c>
      <c r="J61" s="7" t="s">
        <v>236</v>
      </c>
    </row>
    <row r="62" customFormat="false" ht="15" hidden="false" customHeight="false" outlineLevel="0" collapsed="false">
      <c r="A62" s="8" t="s">
        <v>237</v>
      </c>
      <c r="B62" s="8" t="s">
        <v>238</v>
      </c>
      <c r="C62" s="8" t="s">
        <v>221</v>
      </c>
      <c r="D62" s="8" t="s">
        <v>87</v>
      </c>
      <c r="E62" s="8" t="s">
        <v>108</v>
      </c>
      <c r="F62" s="8" t="s">
        <v>89</v>
      </c>
      <c r="G62" s="8" t="s">
        <v>109</v>
      </c>
      <c r="H62" s="8" t="s">
        <v>42</v>
      </c>
      <c r="I62" s="8" t="s">
        <v>92</v>
      </c>
      <c r="J62" s="8"/>
    </row>
    <row r="63" customFormat="false" ht="15" hidden="false" customHeight="false" outlineLevel="0" collapsed="false">
      <c r="A63" s="7" t="s">
        <v>239</v>
      </c>
      <c r="B63" s="7" t="s">
        <v>240</v>
      </c>
      <c r="C63" s="7" t="s">
        <v>221</v>
      </c>
      <c r="D63" s="7" t="s">
        <v>138</v>
      </c>
      <c r="E63" s="7" t="s">
        <v>241</v>
      </c>
      <c r="F63" s="7" t="s">
        <v>89</v>
      </c>
      <c r="G63" s="7" t="s">
        <v>109</v>
      </c>
      <c r="H63" s="7" t="s">
        <v>91</v>
      </c>
      <c r="I63" s="7" t="s">
        <v>92</v>
      </c>
      <c r="J63" s="7"/>
    </row>
    <row r="64" customFormat="false" ht="15" hidden="false" customHeight="false" outlineLevel="0" collapsed="false">
      <c r="A64" s="8" t="s">
        <v>242</v>
      </c>
      <c r="B64" s="8" t="s">
        <v>243</v>
      </c>
      <c r="C64" s="8" t="s">
        <v>221</v>
      </c>
      <c r="D64" s="8" t="s">
        <v>138</v>
      </c>
      <c r="E64" s="8" t="s">
        <v>112</v>
      </c>
      <c r="F64" s="8" t="s">
        <v>96</v>
      </c>
      <c r="G64" s="8" t="s">
        <v>117</v>
      </c>
      <c r="H64" s="8" t="s">
        <v>91</v>
      </c>
      <c r="I64" s="8" t="s">
        <v>92</v>
      </c>
      <c r="J64" s="8"/>
    </row>
    <row r="65" customFormat="false" ht="15" hidden="false" customHeight="false" outlineLevel="0" collapsed="false">
      <c r="A65" s="7" t="s">
        <v>244</v>
      </c>
      <c r="B65" s="7" t="s">
        <v>245</v>
      </c>
      <c r="C65" s="7" t="s">
        <v>221</v>
      </c>
      <c r="D65" s="7" t="s">
        <v>138</v>
      </c>
      <c r="E65" s="7" t="s">
        <v>108</v>
      </c>
      <c r="F65" s="7" t="s">
        <v>89</v>
      </c>
      <c r="G65" s="7" t="s">
        <v>90</v>
      </c>
      <c r="H65" s="7" t="s">
        <v>91</v>
      </c>
      <c r="I65" s="7" t="s">
        <v>163</v>
      </c>
      <c r="J65" s="7"/>
    </row>
    <row r="66" customFormat="false" ht="15" hidden="false" customHeight="false" outlineLevel="0" collapsed="false">
      <c r="A66" s="8" t="s">
        <v>246</v>
      </c>
      <c r="B66" s="8" t="s">
        <v>247</v>
      </c>
      <c r="C66" s="8" t="s">
        <v>221</v>
      </c>
      <c r="D66" s="8" t="s">
        <v>163</v>
      </c>
      <c r="E66" s="8" t="s">
        <v>190</v>
      </c>
      <c r="F66" s="8" t="s">
        <v>191</v>
      </c>
      <c r="G66" s="8" t="s">
        <v>117</v>
      </c>
      <c r="H66" s="8" t="s">
        <v>46</v>
      </c>
      <c r="I66" s="8" t="s">
        <v>92</v>
      </c>
      <c r="J66" s="8"/>
    </row>
    <row r="67" customFormat="false" ht="15" hidden="false" customHeight="false" outlineLevel="0" collapsed="false">
      <c r="A67" s="7" t="s">
        <v>248</v>
      </c>
      <c r="B67" s="7" t="s">
        <v>249</v>
      </c>
      <c r="C67" s="7" t="s">
        <v>221</v>
      </c>
      <c r="D67" s="7" t="s">
        <v>163</v>
      </c>
      <c r="E67" s="7" t="s">
        <v>88</v>
      </c>
      <c r="F67" s="7" t="s">
        <v>89</v>
      </c>
      <c r="G67" s="7" t="s">
        <v>90</v>
      </c>
      <c r="H67" s="7" t="s">
        <v>91</v>
      </c>
      <c r="I67" s="7" t="s">
        <v>92</v>
      </c>
      <c r="J67" s="7"/>
    </row>
    <row r="68" customFormat="false" ht="15" hidden="false" customHeight="false" outlineLevel="0" collapsed="false">
      <c r="A68" s="8" t="s">
        <v>250</v>
      </c>
      <c r="B68" s="8" t="s">
        <v>251</v>
      </c>
      <c r="C68" s="8" t="s">
        <v>221</v>
      </c>
      <c r="D68" s="8" t="s">
        <v>163</v>
      </c>
      <c r="E68" s="8" t="s">
        <v>88</v>
      </c>
      <c r="F68" s="8" t="s">
        <v>105</v>
      </c>
      <c r="G68" s="8" t="s">
        <v>109</v>
      </c>
      <c r="H68" s="8" t="s">
        <v>91</v>
      </c>
      <c r="I68" s="8" t="s">
        <v>92</v>
      </c>
      <c r="J68" s="8"/>
    </row>
    <row r="69" customFormat="false" ht="15" hidden="false" customHeight="false" outlineLevel="0" collapsed="false">
      <c r="A69" s="7" t="s">
        <v>252</v>
      </c>
      <c r="B69" s="7" t="s">
        <v>253</v>
      </c>
      <c r="C69" s="7" t="s">
        <v>221</v>
      </c>
      <c r="D69" s="7" t="s">
        <v>163</v>
      </c>
      <c r="E69" s="7" t="s">
        <v>101</v>
      </c>
      <c r="F69" s="7" t="s">
        <v>89</v>
      </c>
      <c r="G69" s="7" t="s">
        <v>109</v>
      </c>
      <c r="H69" s="7" t="s">
        <v>54</v>
      </c>
      <c r="I69" s="7" t="s">
        <v>163</v>
      </c>
      <c r="J69" s="7" t="s">
        <v>254</v>
      </c>
    </row>
    <row r="70" customFormat="false" ht="15" hidden="false" customHeight="false" outlineLevel="0" collapsed="false">
      <c r="A70" s="8" t="s">
        <v>255</v>
      </c>
      <c r="B70" s="8" t="s">
        <v>256</v>
      </c>
      <c r="C70" s="8" t="s">
        <v>221</v>
      </c>
      <c r="D70" s="8" t="s">
        <v>91</v>
      </c>
      <c r="E70" s="8" t="s">
        <v>257</v>
      </c>
      <c r="F70" s="8" t="s">
        <v>105</v>
      </c>
      <c r="G70" s="8" t="s">
        <v>258</v>
      </c>
      <c r="H70" s="8" t="s">
        <v>42</v>
      </c>
      <c r="I70" s="8" t="s">
        <v>92</v>
      </c>
      <c r="J70" s="8"/>
    </row>
    <row r="71" customFormat="false" ht="15" hidden="false" customHeight="false" outlineLevel="0" collapsed="false">
      <c r="A71" s="9" t="s">
        <v>259</v>
      </c>
      <c r="B71" s="9"/>
      <c r="C71" s="9"/>
      <c r="D71" s="9"/>
      <c r="E71" s="9"/>
      <c r="F71" s="9"/>
      <c r="G71" s="9"/>
      <c r="H71" s="9"/>
      <c r="I71" s="9"/>
      <c r="J71" s="9"/>
    </row>
    <row r="72" customFormat="false" ht="15" hidden="false" customHeight="false" outlineLevel="0" collapsed="false">
      <c r="A72" s="7" t="s">
        <v>260</v>
      </c>
      <c r="B72" s="7" t="s">
        <v>261</v>
      </c>
      <c r="C72" s="7" t="s">
        <v>262</v>
      </c>
      <c r="D72" s="7" t="s">
        <v>87</v>
      </c>
      <c r="E72" s="7" t="s">
        <v>257</v>
      </c>
      <c r="F72" s="7" t="s">
        <v>105</v>
      </c>
      <c r="G72" s="7" t="s">
        <v>109</v>
      </c>
      <c r="H72" s="7" t="s">
        <v>42</v>
      </c>
      <c r="I72" s="7" t="s">
        <v>92</v>
      </c>
      <c r="J72" s="7" t="s">
        <v>263</v>
      </c>
    </row>
    <row r="73" customFormat="false" ht="15" hidden="false" customHeight="false" outlineLevel="0" collapsed="false">
      <c r="A73" s="8" t="s">
        <v>264</v>
      </c>
      <c r="B73" s="8" t="s">
        <v>265</v>
      </c>
      <c r="C73" s="8" t="s">
        <v>262</v>
      </c>
      <c r="D73" s="8" t="s">
        <v>138</v>
      </c>
      <c r="E73" s="8" t="s">
        <v>266</v>
      </c>
      <c r="F73" s="8" t="s">
        <v>89</v>
      </c>
      <c r="G73" s="8" t="s">
        <v>90</v>
      </c>
      <c r="H73" s="8" t="s">
        <v>91</v>
      </c>
      <c r="I73" s="8" t="s">
        <v>92</v>
      </c>
      <c r="J73" s="8"/>
    </row>
    <row r="74" customFormat="false" ht="15" hidden="false" customHeight="false" outlineLevel="0" collapsed="false">
      <c r="A74" s="7" t="s">
        <v>267</v>
      </c>
      <c r="B74" s="7" t="s">
        <v>268</v>
      </c>
      <c r="C74" s="7" t="s">
        <v>262</v>
      </c>
      <c r="D74" s="7" t="s">
        <v>163</v>
      </c>
      <c r="E74" s="7" t="s">
        <v>88</v>
      </c>
      <c r="F74" s="7" t="s">
        <v>105</v>
      </c>
      <c r="G74" s="7" t="s">
        <v>109</v>
      </c>
      <c r="H74" s="7" t="s">
        <v>46</v>
      </c>
      <c r="I74" s="7" t="s">
        <v>92</v>
      </c>
      <c r="J74" s="7"/>
    </row>
    <row r="75" customFormat="false" ht="15" hidden="false" customHeight="false" outlineLevel="0" collapsed="false">
      <c r="A75" s="9" t="s">
        <v>269</v>
      </c>
      <c r="B75" s="9"/>
      <c r="C75" s="9"/>
      <c r="D75" s="9"/>
      <c r="E75" s="9"/>
      <c r="F75" s="9"/>
      <c r="G75" s="9"/>
      <c r="H75" s="9"/>
      <c r="I75" s="9"/>
      <c r="J75" s="9"/>
    </row>
    <row r="76" customFormat="false" ht="15" hidden="false" customHeight="false" outlineLevel="0" collapsed="false">
      <c r="A76" s="7" t="s">
        <v>270</v>
      </c>
      <c r="B76" s="7" t="s">
        <v>271</v>
      </c>
      <c r="C76" s="7" t="s">
        <v>272</v>
      </c>
      <c r="D76" s="7" t="s">
        <v>87</v>
      </c>
      <c r="E76" s="7" t="s">
        <v>134</v>
      </c>
      <c r="F76" s="7" t="s">
        <v>89</v>
      </c>
      <c r="G76" s="7" t="s">
        <v>102</v>
      </c>
      <c r="H76" s="7" t="s">
        <v>91</v>
      </c>
      <c r="I76" s="7" t="s">
        <v>163</v>
      </c>
      <c r="J76" s="7" t="s">
        <v>273</v>
      </c>
    </row>
    <row r="77" customFormat="false" ht="15" hidden="false" customHeight="false" outlineLevel="0" collapsed="false">
      <c r="A77" s="8" t="s">
        <v>274</v>
      </c>
      <c r="B77" s="8" t="s">
        <v>275</v>
      </c>
      <c r="C77" s="8" t="s">
        <v>272</v>
      </c>
      <c r="D77" s="8" t="s">
        <v>87</v>
      </c>
      <c r="E77" s="8" t="s">
        <v>276</v>
      </c>
      <c r="F77" s="8" t="s">
        <v>191</v>
      </c>
      <c r="G77" s="8" t="s">
        <v>135</v>
      </c>
      <c r="H77" s="8" t="s">
        <v>42</v>
      </c>
      <c r="I77" s="8" t="s">
        <v>92</v>
      </c>
      <c r="J77" s="8" t="s">
        <v>277</v>
      </c>
    </row>
    <row r="78" customFormat="false" ht="15" hidden="false" customHeight="false" outlineLevel="0" collapsed="false">
      <c r="A78" s="7" t="s">
        <v>278</v>
      </c>
      <c r="B78" s="7" t="s">
        <v>279</v>
      </c>
      <c r="C78" s="7" t="s">
        <v>272</v>
      </c>
      <c r="D78" s="7" t="s">
        <v>87</v>
      </c>
      <c r="E78" s="7" t="s">
        <v>280</v>
      </c>
      <c r="F78" s="7" t="s">
        <v>89</v>
      </c>
      <c r="G78" s="7" t="s">
        <v>90</v>
      </c>
      <c r="H78" s="7" t="s">
        <v>91</v>
      </c>
      <c r="I78" s="7" t="s">
        <v>163</v>
      </c>
      <c r="J78" s="7" t="s">
        <v>281</v>
      </c>
    </row>
    <row r="79" customFormat="false" ht="15" hidden="false" customHeight="false" outlineLevel="0" collapsed="false">
      <c r="A79" s="8" t="s">
        <v>282</v>
      </c>
      <c r="B79" s="8" t="s">
        <v>283</v>
      </c>
      <c r="C79" s="8" t="s">
        <v>272</v>
      </c>
      <c r="D79" s="8" t="s">
        <v>87</v>
      </c>
      <c r="E79" s="8" t="s">
        <v>284</v>
      </c>
      <c r="F79" s="8" t="s">
        <v>89</v>
      </c>
      <c r="G79" s="8" t="s">
        <v>90</v>
      </c>
      <c r="H79" s="8" t="s">
        <v>42</v>
      </c>
      <c r="I79" s="8" t="s">
        <v>163</v>
      </c>
      <c r="J79" s="8"/>
    </row>
    <row r="80" customFormat="false" ht="15" hidden="false" customHeight="false" outlineLevel="0" collapsed="false">
      <c r="A80" s="7" t="s">
        <v>285</v>
      </c>
      <c r="B80" s="7" t="s">
        <v>286</v>
      </c>
      <c r="C80" s="7" t="s">
        <v>272</v>
      </c>
      <c r="D80" s="7" t="s">
        <v>87</v>
      </c>
      <c r="E80" s="7" t="s">
        <v>280</v>
      </c>
      <c r="F80" s="7" t="s">
        <v>89</v>
      </c>
      <c r="G80" s="7" t="s">
        <v>109</v>
      </c>
      <c r="H80" s="7" t="s">
        <v>46</v>
      </c>
      <c r="I80" s="7" t="s">
        <v>163</v>
      </c>
      <c r="J80" s="7"/>
    </row>
    <row r="81" customFormat="false" ht="15" hidden="false" customHeight="false" outlineLevel="0" collapsed="false">
      <c r="A81" s="8" t="s">
        <v>287</v>
      </c>
      <c r="B81" s="8" t="s">
        <v>288</v>
      </c>
      <c r="C81" s="8" t="s">
        <v>272</v>
      </c>
      <c r="D81" s="8" t="s">
        <v>138</v>
      </c>
      <c r="E81" s="8" t="s">
        <v>266</v>
      </c>
      <c r="F81" s="8" t="s">
        <v>105</v>
      </c>
      <c r="G81" s="8" t="s">
        <v>90</v>
      </c>
      <c r="H81" s="8" t="s">
        <v>91</v>
      </c>
      <c r="I81" s="8" t="s">
        <v>163</v>
      </c>
      <c r="J81" s="8"/>
    </row>
    <row r="82" customFormat="false" ht="15" hidden="false" customHeight="false" outlineLevel="0" collapsed="false">
      <c r="A82" s="7" t="s">
        <v>289</v>
      </c>
      <c r="B82" s="7" t="s">
        <v>290</v>
      </c>
      <c r="C82" s="7" t="s">
        <v>272</v>
      </c>
      <c r="D82" s="7" t="s">
        <v>138</v>
      </c>
      <c r="E82" s="7" t="s">
        <v>190</v>
      </c>
      <c r="F82" s="7" t="s">
        <v>191</v>
      </c>
      <c r="G82" s="7" t="s">
        <v>117</v>
      </c>
      <c r="H82" s="7" t="s">
        <v>46</v>
      </c>
      <c r="I82" s="7" t="s">
        <v>92</v>
      </c>
      <c r="J82" s="7" t="s">
        <v>291</v>
      </c>
    </row>
    <row r="83" customFormat="false" ht="15" hidden="false" customHeight="false" outlineLevel="0" collapsed="false">
      <c r="A83" s="8" t="s">
        <v>292</v>
      </c>
      <c r="B83" s="8" t="s">
        <v>293</v>
      </c>
      <c r="C83" s="8" t="s">
        <v>272</v>
      </c>
      <c r="D83" s="8" t="s">
        <v>163</v>
      </c>
      <c r="E83" s="8" t="s">
        <v>134</v>
      </c>
      <c r="F83" s="8" t="s">
        <v>105</v>
      </c>
      <c r="G83" s="8" t="s">
        <v>109</v>
      </c>
      <c r="H83" s="8" t="s">
        <v>91</v>
      </c>
      <c r="I83" s="8" t="s">
        <v>163</v>
      </c>
      <c r="J83" s="8" t="s">
        <v>294</v>
      </c>
    </row>
    <row r="84" customFormat="false" ht="15" hidden="false" customHeight="false" outlineLevel="0" collapsed="false">
      <c r="A84" s="7" t="s">
        <v>295</v>
      </c>
      <c r="B84" s="7" t="s">
        <v>296</v>
      </c>
      <c r="C84" s="7" t="s">
        <v>272</v>
      </c>
      <c r="D84" s="7" t="s">
        <v>163</v>
      </c>
      <c r="E84" s="7" t="s">
        <v>257</v>
      </c>
      <c r="F84" s="7" t="s">
        <v>105</v>
      </c>
      <c r="G84" s="7" t="s">
        <v>117</v>
      </c>
      <c r="H84" s="7" t="s">
        <v>91</v>
      </c>
      <c r="I84" s="7" t="s">
        <v>163</v>
      </c>
      <c r="J84" s="7"/>
    </row>
    <row r="85" customFormat="false" ht="15" hidden="false" customHeight="false" outlineLevel="0" collapsed="false">
      <c r="A85" s="8" t="s">
        <v>297</v>
      </c>
      <c r="B85" s="8" t="s">
        <v>298</v>
      </c>
      <c r="C85" s="8" t="s">
        <v>272</v>
      </c>
      <c r="D85" s="8" t="s">
        <v>163</v>
      </c>
      <c r="E85" s="8" t="s">
        <v>139</v>
      </c>
      <c r="F85" s="8" t="s">
        <v>105</v>
      </c>
      <c r="G85" s="8" t="s">
        <v>90</v>
      </c>
      <c r="H85" s="8" t="s">
        <v>91</v>
      </c>
      <c r="I85" s="8" t="s">
        <v>163</v>
      </c>
      <c r="J85" s="8"/>
    </row>
    <row r="86" customFormat="false" ht="15" hidden="false" customHeight="false" outlineLevel="0" collapsed="false">
      <c r="A86" s="7" t="s">
        <v>299</v>
      </c>
      <c r="B86" s="7" t="s">
        <v>300</v>
      </c>
      <c r="C86" s="7" t="s">
        <v>272</v>
      </c>
      <c r="D86" s="7" t="s">
        <v>163</v>
      </c>
      <c r="E86" s="7" t="s">
        <v>301</v>
      </c>
      <c r="F86" s="7" t="s">
        <v>199</v>
      </c>
      <c r="G86" s="7" t="s">
        <v>109</v>
      </c>
      <c r="H86" s="7" t="s">
        <v>54</v>
      </c>
      <c r="I86" s="7" t="s">
        <v>163</v>
      </c>
      <c r="J86" s="7" t="s">
        <v>302</v>
      </c>
    </row>
    <row r="87" customFormat="false" ht="15" hidden="false" customHeight="false" outlineLevel="0" collapsed="false">
      <c r="A87" s="8" t="s">
        <v>303</v>
      </c>
      <c r="B87" s="8" t="s">
        <v>304</v>
      </c>
      <c r="C87" s="8" t="s">
        <v>272</v>
      </c>
      <c r="D87" s="8" t="s">
        <v>163</v>
      </c>
      <c r="E87" s="8" t="s">
        <v>280</v>
      </c>
      <c r="F87" s="8" t="s">
        <v>89</v>
      </c>
      <c r="G87" s="8" t="s">
        <v>90</v>
      </c>
      <c r="H87" s="8" t="s">
        <v>46</v>
      </c>
      <c r="I87" s="8" t="s">
        <v>163</v>
      </c>
      <c r="J87" s="8"/>
    </row>
    <row r="88" customFormat="false" ht="15" hidden="false" customHeight="false" outlineLevel="0" collapsed="false">
      <c r="A88" s="7" t="s">
        <v>305</v>
      </c>
      <c r="B88" s="7" t="s">
        <v>306</v>
      </c>
      <c r="C88" s="7" t="s">
        <v>272</v>
      </c>
      <c r="D88" s="7" t="s">
        <v>163</v>
      </c>
      <c r="E88" s="7" t="s">
        <v>134</v>
      </c>
      <c r="F88" s="7" t="s">
        <v>89</v>
      </c>
      <c r="G88" s="7" t="s">
        <v>135</v>
      </c>
      <c r="H88" s="7" t="s">
        <v>91</v>
      </c>
      <c r="I88" s="7" t="s">
        <v>92</v>
      </c>
      <c r="J88" s="7"/>
    </row>
    <row r="89" customFormat="false" ht="15" hidden="false" customHeight="false" outlineLevel="0" collapsed="false">
      <c r="A89" s="9" t="s">
        <v>307</v>
      </c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" hidden="false" customHeight="false" outlineLevel="0" collapsed="false">
      <c r="A90" s="7" t="s">
        <v>308</v>
      </c>
      <c r="B90" s="7" t="s">
        <v>309</v>
      </c>
      <c r="C90" s="7" t="s">
        <v>310</v>
      </c>
      <c r="D90" s="7" t="s">
        <v>87</v>
      </c>
      <c r="E90" s="7" t="s">
        <v>276</v>
      </c>
      <c r="F90" s="7" t="s">
        <v>191</v>
      </c>
      <c r="G90" s="7" t="s">
        <v>90</v>
      </c>
      <c r="H90" s="7" t="s">
        <v>91</v>
      </c>
      <c r="I90" s="7" t="s">
        <v>163</v>
      </c>
      <c r="J90" s="7"/>
    </row>
    <row r="91" customFormat="false" ht="15" hidden="false" customHeight="false" outlineLevel="0" collapsed="false">
      <c r="A91" s="8" t="s">
        <v>311</v>
      </c>
      <c r="B91" s="8" t="s">
        <v>312</v>
      </c>
      <c r="C91" s="8" t="s">
        <v>310</v>
      </c>
      <c r="D91" s="8" t="s">
        <v>87</v>
      </c>
      <c r="E91" s="8" t="s">
        <v>276</v>
      </c>
      <c r="F91" s="8" t="s">
        <v>105</v>
      </c>
      <c r="G91" s="8" t="s">
        <v>135</v>
      </c>
      <c r="H91" s="8" t="s">
        <v>91</v>
      </c>
      <c r="I91" s="8" t="s">
        <v>92</v>
      </c>
      <c r="J91" s="8"/>
    </row>
    <row r="92" customFormat="false" ht="15" hidden="false" customHeight="false" outlineLevel="0" collapsed="false">
      <c r="A92" s="7" t="s">
        <v>313</v>
      </c>
      <c r="B92" s="7" t="s">
        <v>314</v>
      </c>
      <c r="C92" s="7" t="s">
        <v>310</v>
      </c>
      <c r="D92" s="7" t="s">
        <v>87</v>
      </c>
      <c r="E92" s="7" t="s">
        <v>276</v>
      </c>
      <c r="F92" s="7" t="s">
        <v>191</v>
      </c>
      <c r="G92" s="7" t="s">
        <v>135</v>
      </c>
      <c r="H92" s="7" t="s">
        <v>91</v>
      </c>
      <c r="I92" s="7" t="s">
        <v>163</v>
      </c>
      <c r="J92" s="7"/>
    </row>
    <row r="93" customFormat="false" ht="15" hidden="false" customHeight="false" outlineLevel="0" collapsed="false">
      <c r="A93" s="8" t="s">
        <v>315</v>
      </c>
      <c r="B93" s="8" t="s">
        <v>316</v>
      </c>
      <c r="C93" s="8" t="s">
        <v>310</v>
      </c>
      <c r="D93" s="8" t="s">
        <v>87</v>
      </c>
      <c r="E93" s="8" t="s">
        <v>101</v>
      </c>
      <c r="F93" s="8" t="s">
        <v>89</v>
      </c>
      <c r="G93" s="8" t="s">
        <v>117</v>
      </c>
      <c r="H93" s="8" t="s">
        <v>91</v>
      </c>
      <c r="I93" s="8" t="s">
        <v>92</v>
      </c>
      <c r="J93" s="8" t="s">
        <v>317</v>
      </c>
    </row>
    <row r="94" customFormat="false" ht="15" hidden="false" customHeight="false" outlineLevel="0" collapsed="false">
      <c r="A94" s="7" t="s">
        <v>318</v>
      </c>
      <c r="B94" s="7" t="s">
        <v>319</v>
      </c>
      <c r="C94" s="7" t="s">
        <v>310</v>
      </c>
      <c r="D94" s="7" t="s">
        <v>87</v>
      </c>
      <c r="E94" s="7" t="s">
        <v>95</v>
      </c>
      <c r="F94" s="7" t="s">
        <v>96</v>
      </c>
      <c r="G94" s="7" t="s">
        <v>90</v>
      </c>
      <c r="H94" s="7" t="s">
        <v>46</v>
      </c>
      <c r="I94" s="7" t="s">
        <v>92</v>
      </c>
      <c r="J94" s="7" t="s">
        <v>317</v>
      </c>
    </row>
    <row r="95" customFormat="false" ht="15" hidden="false" customHeight="false" outlineLevel="0" collapsed="false">
      <c r="A95" s="8" t="s">
        <v>320</v>
      </c>
      <c r="B95" s="8" t="s">
        <v>321</v>
      </c>
      <c r="C95" s="8" t="s">
        <v>310</v>
      </c>
      <c r="D95" s="8" t="s">
        <v>138</v>
      </c>
      <c r="E95" s="8" t="s">
        <v>190</v>
      </c>
      <c r="F95" s="8" t="s">
        <v>191</v>
      </c>
      <c r="G95" s="8" t="s">
        <v>135</v>
      </c>
      <c r="H95" s="8" t="s">
        <v>91</v>
      </c>
      <c r="I95" s="8" t="s">
        <v>163</v>
      </c>
      <c r="J95" s="8"/>
    </row>
    <row r="96" customFormat="false" ht="15" hidden="false" customHeight="false" outlineLevel="0" collapsed="false">
      <c r="A96" s="7" t="s">
        <v>322</v>
      </c>
      <c r="B96" s="7" t="s">
        <v>323</v>
      </c>
      <c r="C96" s="7" t="s">
        <v>310</v>
      </c>
      <c r="D96" s="7" t="s">
        <v>138</v>
      </c>
      <c r="E96" s="7" t="s">
        <v>280</v>
      </c>
      <c r="F96" s="7" t="s">
        <v>89</v>
      </c>
      <c r="G96" s="7" t="s">
        <v>90</v>
      </c>
      <c r="H96" s="7" t="s">
        <v>91</v>
      </c>
      <c r="I96" s="7" t="s">
        <v>163</v>
      </c>
      <c r="J96" s="7"/>
    </row>
    <row r="97" customFormat="false" ht="15" hidden="false" customHeight="false" outlineLevel="0" collapsed="false">
      <c r="A97" s="8" t="s">
        <v>324</v>
      </c>
      <c r="B97" s="8" t="s">
        <v>325</v>
      </c>
      <c r="C97" s="8" t="s">
        <v>310</v>
      </c>
      <c r="D97" s="8" t="s">
        <v>138</v>
      </c>
      <c r="E97" s="8" t="s">
        <v>284</v>
      </c>
      <c r="F97" s="8" t="s">
        <v>89</v>
      </c>
      <c r="G97" s="8" t="s">
        <v>109</v>
      </c>
      <c r="H97" s="8" t="s">
        <v>46</v>
      </c>
      <c r="I97" s="8" t="s">
        <v>92</v>
      </c>
      <c r="J97" s="8" t="s">
        <v>317</v>
      </c>
    </row>
    <row r="99" customFormat="false" ht="15" hidden="false" customHeight="false" outlineLevel="0" collapsed="false">
      <c r="A99" s="5" t="s">
        <v>326</v>
      </c>
      <c r="B99" s="5"/>
    </row>
    <row r="100" customFormat="false" ht="15" hidden="false" customHeight="false" outlineLevel="0" collapsed="false">
      <c r="A100" s="3" t="s">
        <v>86</v>
      </c>
      <c r="B100" s="10" t="n">
        <f aca="false">COUNTIF(C2:C98,"Pending Release")</f>
        <v>37</v>
      </c>
    </row>
    <row r="101" customFormat="false" ht="15" hidden="false" customHeight="false" outlineLevel="0" collapsed="false">
      <c r="A101" s="3" t="s">
        <v>183</v>
      </c>
      <c r="B101" s="10" t="n">
        <f aca="false">COUNTIF(C2:C99,"Released")</f>
        <v>6</v>
      </c>
    </row>
    <row r="102" customFormat="false" ht="15" hidden="false" customHeight="false" outlineLevel="0" collapsed="false">
      <c r="A102" s="3" t="s">
        <v>203</v>
      </c>
      <c r="B102" s="10" t="n">
        <f aca="false">COUNTIF(C2:C100,"UAT")</f>
        <v>6</v>
      </c>
    </row>
    <row r="103" customFormat="false" ht="15" hidden="false" customHeight="false" outlineLevel="0" collapsed="false">
      <c r="A103" s="3" t="s">
        <v>221</v>
      </c>
      <c r="B103" s="10" t="n">
        <f aca="false">COUNTIF(C2:C101,"QA")</f>
        <v>16</v>
      </c>
    </row>
    <row r="104" customFormat="false" ht="15" hidden="false" customHeight="false" outlineLevel="0" collapsed="false">
      <c r="A104" s="3" t="s">
        <v>262</v>
      </c>
      <c r="B104" s="10" t="n">
        <f aca="false">COUNTIF(C2:C102,"PR Review")</f>
        <v>3</v>
      </c>
    </row>
    <row r="105" customFormat="false" ht="15" hidden="false" customHeight="false" outlineLevel="0" collapsed="false">
      <c r="A105" s="3" t="s">
        <v>272</v>
      </c>
      <c r="B105" s="10" t="n">
        <f aca="false">COUNTIF(C2:C103,"Development")</f>
        <v>13</v>
      </c>
    </row>
    <row r="106" customFormat="false" ht="15" hidden="false" customHeight="false" outlineLevel="0" collapsed="false">
      <c r="A106" s="3" t="s">
        <v>310</v>
      </c>
      <c r="B106" s="10" t="n">
        <f aca="false">COUNTIF(C2:C104,"Todo")</f>
        <v>8</v>
      </c>
    </row>
    <row r="107" customFormat="false" ht="15" hidden="false" customHeight="false" outlineLevel="0" collapsed="false">
      <c r="A107" s="3" t="s">
        <v>327</v>
      </c>
      <c r="B107" s="3" t="n">
        <f aca="false">SUM(B100:B106)</f>
        <v>89</v>
      </c>
    </row>
  </sheetData>
  <autoFilter ref="A1:J1"/>
  <mergeCells count="8">
    <mergeCell ref="A2:J2"/>
    <mergeCell ref="A40:J40"/>
    <mergeCell ref="A47:J47"/>
    <mergeCell ref="A54:J54"/>
    <mergeCell ref="A71:J71"/>
    <mergeCell ref="A75:J75"/>
    <mergeCell ref="A89:J89"/>
    <mergeCell ref="A99:B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45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328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3" t="s">
        <v>329</v>
      </c>
      <c r="B2" s="0" t="s">
        <v>330</v>
      </c>
    </row>
    <row r="3" customFormat="false" ht="15" hidden="false" customHeight="false" outlineLevel="0" collapsed="false">
      <c r="A3" s="3" t="s">
        <v>331</v>
      </c>
      <c r="B3" s="0" t="s">
        <v>15</v>
      </c>
    </row>
    <row r="5" customFormat="false" ht="15" hidden="false" customHeight="false" outlineLevel="0" collapsed="false">
      <c r="A5" s="6" t="s">
        <v>332</v>
      </c>
      <c r="B5" s="6" t="s">
        <v>38</v>
      </c>
      <c r="C5" s="6" t="s">
        <v>333</v>
      </c>
      <c r="D5" s="6" t="s">
        <v>334</v>
      </c>
      <c r="E5" s="6" t="s">
        <v>41</v>
      </c>
      <c r="F5" s="6" t="s">
        <v>82</v>
      </c>
    </row>
    <row r="6" customFormat="false" ht="15" hidden="false" customHeight="false" outlineLevel="0" collapsed="false">
      <c r="A6" s="9" t="s">
        <v>335</v>
      </c>
      <c r="B6" s="9"/>
      <c r="C6" s="9"/>
      <c r="D6" s="9"/>
      <c r="E6" s="9"/>
      <c r="F6" s="9"/>
    </row>
    <row r="7" customFormat="false" ht="15" hidden="false" customHeight="false" outlineLevel="0" collapsed="false">
      <c r="A7" s="7" t="s">
        <v>336</v>
      </c>
      <c r="B7" s="7" t="s">
        <v>42</v>
      </c>
      <c r="C7" s="7" t="s">
        <v>337</v>
      </c>
      <c r="D7" s="7" t="s">
        <v>338</v>
      </c>
      <c r="E7" s="7" t="s">
        <v>339</v>
      </c>
      <c r="F7" s="7"/>
    </row>
    <row r="8" customFormat="false" ht="15" hidden="false" customHeight="false" outlineLevel="0" collapsed="false">
      <c r="A8" s="8" t="s">
        <v>336</v>
      </c>
      <c r="B8" s="8" t="s">
        <v>46</v>
      </c>
      <c r="C8" s="8" t="s">
        <v>340</v>
      </c>
      <c r="D8" s="8" t="s">
        <v>341</v>
      </c>
      <c r="E8" s="8" t="s">
        <v>339</v>
      </c>
      <c r="F8" s="8"/>
    </row>
    <row r="9" customFormat="false" ht="15" hidden="false" customHeight="false" outlineLevel="0" collapsed="false">
      <c r="A9" s="7" t="s">
        <v>336</v>
      </c>
      <c r="B9" s="7" t="s">
        <v>50</v>
      </c>
      <c r="C9" s="7" t="s">
        <v>342</v>
      </c>
      <c r="D9" s="7" t="s">
        <v>14</v>
      </c>
      <c r="E9" s="7" t="s">
        <v>339</v>
      </c>
      <c r="F9" s="7"/>
    </row>
    <row r="10" customFormat="false" ht="15" hidden="false" customHeight="false" outlineLevel="0" collapsed="false">
      <c r="A10" s="8" t="s">
        <v>336</v>
      </c>
      <c r="B10" s="8" t="s">
        <v>54</v>
      </c>
      <c r="C10" s="8" t="s">
        <v>343</v>
      </c>
      <c r="D10" s="8" t="s">
        <v>344</v>
      </c>
      <c r="E10" s="8" t="s">
        <v>339</v>
      </c>
      <c r="F10" s="8"/>
    </row>
    <row r="11" customFormat="false" ht="15" hidden="false" customHeight="false" outlineLevel="0" collapsed="false">
      <c r="A11" s="7" t="s">
        <v>336</v>
      </c>
      <c r="B11" s="7" t="s">
        <v>58</v>
      </c>
      <c r="C11" s="7" t="s">
        <v>345</v>
      </c>
      <c r="D11" s="7" t="s">
        <v>346</v>
      </c>
      <c r="E11" s="7" t="s">
        <v>339</v>
      </c>
      <c r="F11" s="7"/>
    </row>
    <row r="12" customFormat="false" ht="15" hidden="false" customHeight="false" outlineLevel="0" collapsed="false">
      <c r="A12" s="8" t="s">
        <v>336</v>
      </c>
      <c r="B12" s="8" t="s">
        <v>62</v>
      </c>
      <c r="C12" s="8" t="s">
        <v>347</v>
      </c>
      <c r="D12" s="8" t="s">
        <v>348</v>
      </c>
      <c r="E12" s="8" t="s">
        <v>339</v>
      </c>
      <c r="F12" s="8"/>
    </row>
    <row r="13" customFormat="false" ht="15" hidden="false" customHeight="false" outlineLevel="0" collapsed="false">
      <c r="A13" s="9" t="s">
        <v>349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7" t="s">
        <v>350</v>
      </c>
      <c r="B14" s="7" t="s">
        <v>66</v>
      </c>
      <c r="C14" s="7" t="s">
        <v>351</v>
      </c>
      <c r="D14" s="7" t="s">
        <v>14</v>
      </c>
      <c r="E14" s="7" t="s">
        <v>339</v>
      </c>
      <c r="F14" s="7" t="s">
        <v>352</v>
      </c>
    </row>
    <row r="15" customFormat="false" ht="15" hidden="false" customHeight="false" outlineLevel="0" collapsed="false">
      <c r="A15" s="8" t="s">
        <v>350</v>
      </c>
      <c r="B15" s="8" t="s">
        <v>70</v>
      </c>
      <c r="C15" s="8" t="s">
        <v>353</v>
      </c>
      <c r="D15" s="8" t="s">
        <v>14</v>
      </c>
      <c r="E15" s="8" t="s">
        <v>339</v>
      </c>
      <c r="F15" s="8"/>
    </row>
    <row r="16" customFormat="false" ht="15" hidden="false" customHeight="false" outlineLevel="0" collapsed="false">
      <c r="A16" s="7" t="s">
        <v>350</v>
      </c>
      <c r="B16" s="7" t="s">
        <v>354</v>
      </c>
      <c r="C16" s="7" t="s">
        <v>355</v>
      </c>
      <c r="D16" s="7" t="s">
        <v>344</v>
      </c>
      <c r="E16" s="7" t="s">
        <v>339</v>
      </c>
      <c r="F16" s="7"/>
    </row>
    <row r="17" customFormat="false" ht="15" hidden="false" customHeight="false" outlineLevel="0" collapsed="false">
      <c r="A17" s="8" t="s">
        <v>350</v>
      </c>
      <c r="B17" s="8" t="s">
        <v>356</v>
      </c>
      <c r="C17" s="8" t="s">
        <v>357</v>
      </c>
      <c r="D17" s="8" t="s">
        <v>341</v>
      </c>
      <c r="E17" s="8" t="s">
        <v>339</v>
      </c>
      <c r="F17" s="8"/>
    </row>
    <row r="18" customFormat="false" ht="15" hidden="false" customHeight="false" outlineLevel="0" collapsed="false">
      <c r="A18" s="7" t="s">
        <v>350</v>
      </c>
      <c r="B18" s="7" t="s">
        <v>358</v>
      </c>
      <c r="C18" s="7" t="s">
        <v>359</v>
      </c>
      <c r="D18" s="7" t="s">
        <v>14</v>
      </c>
      <c r="E18" s="7" t="s">
        <v>339</v>
      </c>
      <c r="F18" s="7"/>
    </row>
    <row r="19" customFormat="false" ht="15" hidden="false" customHeight="false" outlineLevel="0" collapsed="false">
      <c r="A19" s="9" t="s">
        <v>360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8" t="s">
        <v>361</v>
      </c>
      <c r="B20" s="8" t="s">
        <v>362</v>
      </c>
      <c r="C20" s="8" t="s">
        <v>363</v>
      </c>
      <c r="D20" s="8" t="s">
        <v>341</v>
      </c>
      <c r="E20" s="8" t="s">
        <v>339</v>
      </c>
      <c r="F20" s="8"/>
    </row>
    <row r="21" customFormat="false" ht="15" hidden="false" customHeight="false" outlineLevel="0" collapsed="false">
      <c r="A21" s="7" t="s">
        <v>361</v>
      </c>
      <c r="B21" s="7" t="s">
        <v>364</v>
      </c>
      <c r="C21" s="7" t="s">
        <v>365</v>
      </c>
      <c r="D21" s="7" t="s">
        <v>341</v>
      </c>
      <c r="E21" s="7" t="s">
        <v>339</v>
      </c>
      <c r="F21" s="7"/>
    </row>
    <row r="22" customFormat="false" ht="15" hidden="false" customHeight="false" outlineLevel="0" collapsed="false">
      <c r="A22" s="8" t="s">
        <v>361</v>
      </c>
      <c r="B22" s="8" t="s">
        <v>366</v>
      </c>
      <c r="C22" s="8" t="s">
        <v>367</v>
      </c>
      <c r="D22" s="8" t="s">
        <v>346</v>
      </c>
      <c r="E22" s="8" t="s">
        <v>339</v>
      </c>
      <c r="F22" s="8"/>
    </row>
    <row r="23" customFormat="false" ht="15" hidden="false" customHeight="false" outlineLevel="0" collapsed="false">
      <c r="A23" s="7" t="s">
        <v>361</v>
      </c>
      <c r="B23" s="7" t="s">
        <v>368</v>
      </c>
      <c r="C23" s="7" t="s">
        <v>369</v>
      </c>
      <c r="D23" s="7" t="s">
        <v>346</v>
      </c>
      <c r="E23" s="7" t="s">
        <v>339</v>
      </c>
      <c r="F23" s="7"/>
    </row>
    <row r="24" customFormat="false" ht="15" hidden="false" customHeight="false" outlineLevel="0" collapsed="false">
      <c r="A24" s="8" t="s">
        <v>361</v>
      </c>
      <c r="B24" s="8" t="s">
        <v>370</v>
      </c>
      <c r="C24" s="8" t="s">
        <v>371</v>
      </c>
      <c r="D24" s="8" t="s">
        <v>372</v>
      </c>
      <c r="E24" s="8" t="s">
        <v>339</v>
      </c>
      <c r="F24" s="8"/>
    </row>
    <row r="25" customFormat="false" ht="15" hidden="false" customHeight="false" outlineLevel="0" collapsed="false">
      <c r="A25" s="9" t="s">
        <v>203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A26" s="7" t="s">
        <v>203</v>
      </c>
      <c r="B26" s="7" t="s">
        <v>373</v>
      </c>
      <c r="C26" s="7" t="s">
        <v>374</v>
      </c>
      <c r="D26" s="7" t="s">
        <v>348</v>
      </c>
      <c r="E26" s="7" t="s">
        <v>339</v>
      </c>
      <c r="F26" s="7"/>
    </row>
    <row r="27" customFormat="false" ht="15" hidden="false" customHeight="false" outlineLevel="0" collapsed="false">
      <c r="A27" s="8" t="s">
        <v>203</v>
      </c>
      <c r="B27" s="8" t="s">
        <v>375</v>
      </c>
      <c r="C27" s="8" t="s">
        <v>376</v>
      </c>
      <c r="D27" s="8" t="s">
        <v>377</v>
      </c>
      <c r="E27" s="8" t="s">
        <v>339</v>
      </c>
      <c r="F27" s="8"/>
    </row>
    <row r="28" customFormat="false" ht="15" hidden="false" customHeight="false" outlineLevel="0" collapsed="false">
      <c r="A28" s="7" t="s">
        <v>203</v>
      </c>
      <c r="B28" s="7" t="s">
        <v>378</v>
      </c>
      <c r="C28" s="7" t="s">
        <v>379</v>
      </c>
      <c r="D28" s="7" t="s">
        <v>380</v>
      </c>
      <c r="E28" s="7" t="s">
        <v>339</v>
      </c>
      <c r="F28" s="7"/>
    </row>
    <row r="29" customFormat="false" ht="15" hidden="false" customHeight="false" outlineLevel="0" collapsed="false">
      <c r="A29" s="9" t="s">
        <v>381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8" t="s">
        <v>382</v>
      </c>
      <c r="B30" s="8" t="s">
        <v>383</v>
      </c>
      <c r="C30" s="8" t="s">
        <v>384</v>
      </c>
      <c r="D30" s="8" t="s">
        <v>385</v>
      </c>
      <c r="E30" s="8" t="s">
        <v>339</v>
      </c>
      <c r="F30" s="8"/>
    </row>
    <row r="31" customFormat="false" ht="15" hidden="false" customHeight="false" outlineLevel="0" collapsed="false">
      <c r="A31" s="7" t="s">
        <v>382</v>
      </c>
      <c r="B31" s="7" t="s">
        <v>386</v>
      </c>
      <c r="C31" s="7" t="s">
        <v>387</v>
      </c>
      <c r="D31" s="7" t="s">
        <v>14</v>
      </c>
      <c r="E31" s="7" t="s">
        <v>339</v>
      </c>
      <c r="F31" s="7" t="s">
        <v>352</v>
      </c>
    </row>
    <row r="32" customFormat="false" ht="15" hidden="false" customHeight="false" outlineLevel="0" collapsed="false">
      <c r="A32" s="8" t="s">
        <v>382</v>
      </c>
      <c r="B32" s="8" t="s">
        <v>388</v>
      </c>
      <c r="C32" s="8" t="s">
        <v>389</v>
      </c>
      <c r="D32" s="8" t="s">
        <v>14</v>
      </c>
      <c r="E32" s="8" t="s">
        <v>339</v>
      </c>
      <c r="F32" s="8"/>
    </row>
    <row r="33" customFormat="false" ht="15" hidden="false" customHeight="false" outlineLevel="0" collapsed="false">
      <c r="A33" s="7" t="s">
        <v>382</v>
      </c>
      <c r="B33" s="7" t="s">
        <v>390</v>
      </c>
      <c r="C33" s="7" t="s">
        <v>391</v>
      </c>
      <c r="D33" s="7" t="s">
        <v>344</v>
      </c>
      <c r="E33" s="7" t="s">
        <v>339</v>
      </c>
      <c r="F33" s="7"/>
    </row>
    <row r="34" customFormat="false" ht="15" hidden="false" customHeight="false" outlineLevel="0" collapsed="false">
      <c r="A34" s="8" t="s">
        <v>382</v>
      </c>
      <c r="B34" s="8" t="s">
        <v>392</v>
      </c>
      <c r="C34" s="8" t="s">
        <v>393</v>
      </c>
      <c r="D34" s="8" t="s">
        <v>341</v>
      </c>
      <c r="E34" s="8" t="s">
        <v>339</v>
      </c>
      <c r="F34" s="8"/>
    </row>
    <row r="35" customFormat="false" ht="15" hidden="false" customHeight="false" outlineLevel="0" collapsed="false">
      <c r="A35" s="9" t="s">
        <v>394</v>
      </c>
      <c r="B35" s="9"/>
      <c r="C35" s="9"/>
      <c r="D35" s="9"/>
      <c r="E35" s="9"/>
      <c r="F35" s="9"/>
    </row>
    <row r="36" customFormat="false" ht="15" hidden="false" customHeight="false" outlineLevel="0" collapsed="false">
      <c r="A36" s="7" t="s">
        <v>395</v>
      </c>
      <c r="B36" s="7" t="s">
        <v>396</v>
      </c>
      <c r="C36" s="7" t="s">
        <v>397</v>
      </c>
      <c r="D36" s="7" t="s">
        <v>14</v>
      </c>
      <c r="E36" s="7" t="s">
        <v>339</v>
      </c>
      <c r="F36" s="7" t="s">
        <v>352</v>
      </c>
    </row>
    <row r="37" customFormat="false" ht="15" hidden="false" customHeight="false" outlineLevel="0" collapsed="false">
      <c r="A37" s="8" t="s">
        <v>395</v>
      </c>
      <c r="B37" s="8" t="s">
        <v>398</v>
      </c>
      <c r="C37" s="8" t="s">
        <v>399</v>
      </c>
      <c r="D37" s="8" t="s">
        <v>400</v>
      </c>
      <c r="E37" s="8" t="s">
        <v>339</v>
      </c>
      <c r="F37" s="8"/>
    </row>
    <row r="38" customFormat="false" ht="15" hidden="false" customHeight="false" outlineLevel="0" collapsed="false">
      <c r="A38" s="7" t="s">
        <v>395</v>
      </c>
      <c r="B38" s="7" t="s">
        <v>401</v>
      </c>
      <c r="C38" s="7" t="s">
        <v>402</v>
      </c>
      <c r="D38" s="7" t="s">
        <v>403</v>
      </c>
      <c r="E38" s="7" t="s">
        <v>339</v>
      </c>
      <c r="F38" s="7"/>
    </row>
    <row r="39" customFormat="false" ht="15" hidden="false" customHeight="false" outlineLevel="0" collapsed="false">
      <c r="A39" s="8" t="s">
        <v>395</v>
      </c>
      <c r="B39" s="8" t="s">
        <v>404</v>
      </c>
      <c r="C39" s="8" t="s">
        <v>405</v>
      </c>
      <c r="D39" s="8" t="s">
        <v>14</v>
      </c>
      <c r="E39" s="8" t="s">
        <v>339</v>
      </c>
      <c r="F39" s="8"/>
    </row>
  </sheetData>
  <mergeCells count="7">
    <mergeCell ref="A1:F1"/>
    <mergeCell ref="A6:F6"/>
    <mergeCell ref="A13:F13"/>
    <mergeCell ref="A19:F19"/>
    <mergeCell ref="A25:F25"/>
    <mergeCell ref="A29:F29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1" t="s">
        <v>406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6" t="s">
        <v>407</v>
      </c>
      <c r="B3" s="6" t="s">
        <v>408</v>
      </c>
      <c r="C3" s="6" t="s">
        <v>332</v>
      </c>
      <c r="D3" s="6" t="s">
        <v>409</v>
      </c>
      <c r="E3" s="6" t="s">
        <v>334</v>
      </c>
      <c r="F3" s="6" t="s">
        <v>41</v>
      </c>
    </row>
    <row r="4" customFormat="false" ht="23.85" hidden="false" customHeight="false" outlineLevel="0" collapsed="false">
      <c r="A4" s="7" t="s">
        <v>410</v>
      </c>
      <c r="B4" s="7" t="s">
        <v>411</v>
      </c>
      <c r="C4" s="7" t="s">
        <v>412</v>
      </c>
      <c r="D4" s="7" t="s">
        <v>413</v>
      </c>
      <c r="E4" s="7" t="s">
        <v>414</v>
      </c>
      <c r="F4" s="7" t="s">
        <v>415</v>
      </c>
    </row>
    <row r="5" customFormat="false" ht="23.85" hidden="false" customHeight="false" outlineLevel="0" collapsed="false">
      <c r="A5" s="8" t="s">
        <v>416</v>
      </c>
      <c r="B5" s="8" t="s">
        <v>417</v>
      </c>
      <c r="C5" s="8" t="s">
        <v>418</v>
      </c>
      <c r="D5" s="8" t="s">
        <v>419</v>
      </c>
      <c r="E5" s="8" t="s">
        <v>420</v>
      </c>
      <c r="F5" s="8" t="s">
        <v>339</v>
      </c>
    </row>
    <row r="6" customFormat="false" ht="15" hidden="false" customHeight="false" outlineLevel="0" collapsed="false">
      <c r="A6" s="7" t="s">
        <v>421</v>
      </c>
      <c r="B6" s="7" t="s">
        <v>422</v>
      </c>
      <c r="C6" s="7" t="s">
        <v>361</v>
      </c>
      <c r="D6" s="7" t="s">
        <v>423</v>
      </c>
      <c r="E6" s="7" t="s">
        <v>424</v>
      </c>
      <c r="F6" s="7" t="s">
        <v>339</v>
      </c>
    </row>
    <row r="7" customFormat="false" ht="15" hidden="false" customHeight="false" outlineLevel="0" collapsed="false">
      <c r="A7" s="8" t="s">
        <v>425</v>
      </c>
      <c r="B7" s="8" t="s">
        <v>426</v>
      </c>
      <c r="C7" s="8" t="s">
        <v>203</v>
      </c>
      <c r="D7" s="8" t="s">
        <v>427</v>
      </c>
      <c r="E7" s="8" t="s">
        <v>428</v>
      </c>
      <c r="F7" s="8" t="s">
        <v>339</v>
      </c>
    </row>
    <row r="8" customFormat="false" ht="15" hidden="false" customHeight="false" outlineLevel="0" collapsed="false">
      <c r="A8" s="7" t="s">
        <v>429</v>
      </c>
      <c r="B8" s="7" t="s">
        <v>430</v>
      </c>
      <c r="C8" s="7" t="s">
        <v>382</v>
      </c>
      <c r="D8" s="7" t="s">
        <v>431</v>
      </c>
      <c r="E8" s="7" t="s">
        <v>420</v>
      </c>
      <c r="F8" s="7" t="s">
        <v>339</v>
      </c>
    </row>
    <row r="9" customFormat="false" ht="15" hidden="false" customHeight="false" outlineLevel="0" collapsed="false">
      <c r="A9" s="8" t="s">
        <v>432</v>
      </c>
      <c r="B9" s="8" t="s">
        <v>433</v>
      </c>
      <c r="C9" s="8" t="s">
        <v>434</v>
      </c>
      <c r="D9" s="8" t="s">
        <v>435</v>
      </c>
      <c r="E9" s="8" t="s">
        <v>414</v>
      </c>
      <c r="F9" s="8" t="s">
        <v>339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7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1" t="s">
        <v>436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6" t="s">
        <v>437</v>
      </c>
      <c r="B3" s="6" t="s">
        <v>438</v>
      </c>
      <c r="C3" s="6" t="s">
        <v>439</v>
      </c>
      <c r="D3" s="6" t="s">
        <v>440</v>
      </c>
      <c r="E3" s="6" t="s">
        <v>441</v>
      </c>
      <c r="F3" s="6" t="s">
        <v>334</v>
      </c>
    </row>
    <row r="4" customFormat="false" ht="23.85" hidden="false" customHeight="false" outlineLevel="0" collapsed="false">
      <c r="A4" s="7" t="s">
        <v>442</v>
      </c>
      <c r="B4" s="7" t="s">
        <v>443</v>
      </c>
      <c r="C4" s="7" t="s">
        <v>163</v>
      </c>
      <c r="D4" s="7" t="s">
        <v>138</v>
      </c>
      <c r="E4" s="7" t="s">
        <v>444</v>
      </c>
      <c r="F4" s="7" t="s">
        <v>445</v>
      </c>
    </row>
    <row r="5" customFormat="false" ht="23.85" hidden="false" customHeight="false" outlineLevel="0" collapsed="false">
      <c r="A5" s="8" t="s">
        <v>446</v>
      </c>
      <c r="B5" s="8" t="s">
        <v>447</v>
      </c>
      <c r="C5" s="8" t="s">
        <v>138</v>
      </c>
      <c r="D5" s="8" t="s">
        <v>138</v>
      </c>
      <c r="E5" s="8" t="s">
        <v>448</v>
      </c>
      <c r="F5" s="8" t="s">
        <v>449</v>
      </c>
    </row>
    <row r="6" customFormat="false" ht="23.85" hidden="false" customHeight="false" outlineLevel="0" collapsed="false">
      <c r="A6" s="7" t="s">
        <v>450</v>
      </c>
      <c r="B6" s="7" t="s">
        <v>451</v>
      </c>
      <c r="C6" s="7" t="s">
        <v>138</v>
      </c>
      <c r="D6" s="7" t="s">
        <v>163</v>
      </c>
      <c r="E6" s="7" t="s">
        <v>452</v>
      </c>
      <c r="F6" s="7" t="s">
        <v>453</v>
      </c>
    </row>
    <row r="7" customFormat="false" ht="23.85" hidden="false" customHeight="false" outlineLevel="0" collapsed="false">
      <c r="A7" s="8" t="s">
        <v>454</v>
      </c>
      <c r="B7" s="8" t="s">
        <v>455</v>
      </c>
      <c r="C7" s="8" t="s">
        <v>163</v>
      </c>
      <c r="D7" s="8" t="s">
        <v>138</v>
      </c>
      <c r="E7" s="8" t="s">
        <v>456</v>
      </c>
      <c r="F7" s="8" t="s">
        <v>457</v>
      </c>
    </row>
    <row r="8" customFormat="false" ht="23.85" hidden="false" customHeight="false" outlineLevel="0" collapsed="false">
      <c r="A8" s="7" t="s">
        <v>458</v>
      </c>
      <c r="B8" s="7" t="s">
        <v>459</v>
      </c>
      <c r="C8" s="7" t="s">
        <v>163</v>
      </c>
      <c r="D8" s="7" t="s">
        <v>138</v>
      </c>
      <c r="E8" s="7" t="s">
        <v>460</v>
      </c>
      <c r="F8" s="7" t="s">
        <v>461</v>
      </c>
    </row>
    <row r="9" customFormat="false" ht="23.85" hidden="false" customHeight="false" outlineLevel="0" collapsed="false">
      <c r="A9" s="8" t="s">
        <v>462</v>
      </c>
      <c r="B9" s="8" t="s">
        <v>463</v>
      </c>
      <c r="C9" s="8" t="s">
        <v>163</v>
      </c>
      <c r="D9" s="8" t="s">
        <v>163</v>
      </c>
      <c r="E9" s="8" t="s">
        <v>464</v>
      </c>
      <c r="F9" s="8" t="s">
        <v>465</v>
      </c>
    </row>
    <row r="10" customFormat="false" ht="23.85" hidden="false" customHeight="false" outlineLevel="0" collapsed="false">
      <c r="A10" s="7" t="s">
        <v>466</v>
      </c>
      <c r="B10" s="7" t="s">
        <v>467</v>
      </c>
      <c r="C10" s="7" t="s">
        <v>163</v>
      </c>
      <c r="D10" s="7" t="s">
        <v>138</v>
      </c>
      <c r="E10" s="7" t="s">
        <v>468</v>
      </c>
      <c r="F10" s="7" t="s">
        <v>469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2026-02-22T05:09:35Z</dcterms:created>
  <dc:creator>openpyxl</dc:creator>
  <dc:description/>
  <dc:language>en-US</dc:language>
  <cp:lastModifiedBy/>
  <dcterms:modified xsi:type="dcterms:W3CDTF">2026-02-22T05:09:35Z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
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bhishek/Developer/crego/"/>
    </mc:Choice>
  </mc:AlternateContent>
  <xr:revisionPtr revIDLastSave="0" documentId="13_ncr:1_{20065434-9367-B647-AF15-DA870E89A90D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Gap Register" sheetId="1" r:id="rId1"/>
    <sheet name="Summary" sheetId="2" r:id="rId2"/>
    <sheet name="Legend" sheetId="3" r:id="rId3"/>
  </sheets>
  <definedNames>
    <definedName name="_xlnm._FilterDatabase" localSheetId="0" hidden="1">'Gap Register'!$A$1:$G$53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2" l="1"/>
  <c r="B35" i="2"/>
  <c r="B34" i="2"/>
  <c r="B33" i="2"/>
  <c r="B32" i="2"/>
  <c r="B31" i="2"/>
  <c r="B30" i="2"/>
  <c r="B29" i="2"/>
  <c r="B28" i="2"/>
  <c r="B27" i="2"/>
  <c r="B26" i="2"/>
  <c r="B25" i="2"/>
  <c r="B24" i="2"/>
  <c r="B18" i="2"/>
  <c r="B17" i="2"/>
  <c r="B16" i="2"/>
  <c r="B15" i="2"/>
  <c r="B14" i="2"/>
  <c r="B19" i="2" s="1"/>
  <c r="B8" i="2"/>
  <c r="B7" i="2"/>
  <c r="B6" i="2"/>
  <c r="B5" i="2"/>
  <c r="B9" i="2" s="1"/>
  <c r="B37" i="2" l="1"/>
</calcChain>
</file>

<file path=xl/sharedStrings.xml><?xml version="1.0" encoding="utf-8"?>
<sst xmlns="http://schemas.openxmlformats.org/spreadsheetml/2006/main" count="399" uniqueCount="213">
  <si>
    <t>#</t>
  </si>
  <si>
    <t>Area</t>
  </si>
  <si>
    <t>Flag</t>
  </si>
  <si>
    <t>Severity</t>
  </si>
  <si>
    <t>Solution</t>
  </si>
  <si>
    <t>Sprint</t>
  </si>
  <si>
    <t>Edge &amp; TLS</t>
  </si>
  <si>
    <t>PRD has no WAF / Cloud Armor / rate-limit policy</t>
  </si>
  <si>
    <t>H — High</t>
  </si>
  <si>
    <t>Attach a Cloud Armor SecurityPolicy to the Gateway via GCPBackendPolicy. Start with OWASP preconfigured rule sets (xss-stable, sqli-stable) in preview for 1-2 weeks, then enforce. Add per-IP rate-limit (e.g. 600 req/min).</t>
  </si>
  <si>
    <t>Sprint 2</t>
  </si>
  <si>
    <t>cert-manager uses HTTP-01 only — no wildcard certs; LE rate-limit risk per tenant</t>
  </si>
  <si>
    <t>Add a dns01 solver against Cloud DNS using a dedicated GSA bound via Workload Identity to the cert-manager SA. Issue one wildcard *.crego.app per env. Keep http01 as fallback.</t>
  </si>
  <si>
    <t>Sprint 1</t>
  </si>
  <si>
    <t>NGINX ingress not in GitOps (replicas/version unpinned, default = 1 replica)</t>
  </si>
  <si>
    <t>Create addons/{env}/nginx-ingress/ ArgoCD Application pointing at chart ingress-nginx with pinned chart version, controller.replicaCount: 2, PDB minAvailable:1, explicit resources.requests, topologySpreadConstraints across zones. Remove the helm install step from bootstrap-gcp.sh.</t>
  </si>
  <si>
    <t>App tier</t>
  </si>
  <si>
    <t>PRD kustomization overrides replicas: 1 for every Deployment, defeating HPA</t>
  </si>
  <si>
    <t>C — Critical</t>
  </si>
  <si>
    <t>Delete replicas patches in overlays/prod-gcp/kustomization.yaml. Set spec.replicas &gt;= 2 in base Deployment so HPA minReplicas: 2 is the floor. Add replicas to ignoreDifferences in the ArgoCD Application so HPA changes do not reconcile-thrash.</t>
  </si>
  <si>
    <t>Day-0</t>
  </si>
  <si>
    <t>omni-web / flow-web / flower have no HPA</t>
  </si>
  <si>
    <t>M — Medium</t>
  </si>
  <si>
    <t>Add HPAs (CPU 70%, min 2, max 4) for the web Deployments. Flower can stay at replicas:1 but needs auth (see #7).</t>
  </si>
  <si>
    <t>Backlog</t>
  </si>
  <si>
    <t>omni-celery-beat singleton: no PDB, no leader-election</t>
  </si>
  <si>
    <t>Set spec.replicas: 1 + strategy.type: Recreate to avoid double-beat overlap; add PodDisruptionBudget minAvailable:0 / maxUnavailable:1 so it can drain. Long-term: switch to celery-beat with RedBeatScheduler (Redis lock) and run replicas: 2.</t>
  </si>
  <si>
    <t>Flower exposed without ingress auth annotation in repo</t>
  </si>
  <si>
    <t>Add nginx ingress annotation nginx.ingress.kubernetes.io/auth-type: basic + auth-secret referencing an ESO-synced htpasswd, OR front it with IAP. Deny external access entirely in PRD (internal-only).</t>
  </si>
  <si>
    <t>Identity / RBAC / Pod security</t>
  </si>
  <si>
    <t>Shared K8s Role app-reader grants secrets+configmaps+pods to 7 SAs</t>
  </si>
  <si>
    <t>Split into per-app Roles. Drop the secrets verb where the app reads its env from the ESO-projected app-env Secret (mounted, not API-fetched). Keep configmaps only where actually needed.</t>
  </si>
  <si>
    <t>ArgoCD prod-project allows sourceRepos: ['*']</t>
  </si>
  <si>
    <t>In cluster/bootstrap/app-projects.yaml set sourceRepos to ['https://github.com/crego-tech/crego-infra.git'] and destinations to the prod cluster + namespace only. Same hardening for clusterResourceWhitelist / namespaceResourceWhitelist.</t>
  </si>
  <si>
    <t>No Pod Security Admission labels on namespaces</t>
  </si>
  <si>
    <t>Label namespaces: pod-security.kubernetes.io/enforce=baseline, audit=restricted, warn=restricted for DEV/QA/PRE; enforce=restricted for PRD. Add to base/{env}/namespace.yaml.</t>
  </si>
  <si>
    <t>readOnlyRootFilesystem: false on api/web/worker</t>
  </si>
  <si>
    <t>Set securityContext.readOnlyRootFilesystem: true on every app container; add emptyDir volumes for /tmp, /var/run, plus Django/Python XDG_CACHE_HOME. Roll out env-by-env (DEV -&gt; PRE -&gt; PRD).</t>
  </si>
  <si>
    <t>Network policy</t>
  </si>
  <si>
    <t>Egress 0.0.0.0/0 still open (no DNS/HTTPS-only filter)</t>
  </si>
  <si>
    <t>Replace with: allow kube-dns UDP/TCP 53; allow 443/tcp to resolved CIDRs of GSM, Cloud SQL private range, Sentry, license endpoint, S3/GCS for backups. Use egress rules with to.ipBlock and document the allow-list in base/networkpolicy.yaml comments.</t>
  </si>
  <si>
    <t>Sprint 3</t>
  </si>
  <si>
    <t>No NPs on kube-system / argocd / keda-system / external-secrets</t>
  </si>
  <si>
    <t>Add a default-deny-all NP per system namespace, then explicit allows: ArgoCD &lt;-&gt; git/Helm/cluster API, KEDA &lt;-&gt; K8s API + RabbitMQ, ESO &lt;-&gt; GSM (private Google access), kube-system &lt;-&gt; cluster CIDR.</t>
  </si>
  <si>
    <t>Secrets pipeline</t>
  </si>
  <si>
    <t>No secret rotation policy</t>
  </si>
  <si>
    <t>Enable GSM secret versioning + a Cloud Scheduler job that rotates DB password / JWT signing key monthly via a small Cloud Run handler. ESO refreshInterval: 1h with creationPolicy: Owner picks it up. Document rotation cadence in docs/runbooks/secret-rotation.md.</t>
  </si>
  <si>
    <t>No CMEK on GSM / PD-SSD / Cloud SQL</t>
  </si>
  <si>
    <t>Provision regional KMS keyring crego-{env}-keyring with key app-key. In Terraform: google_secret_manager_secret.encryption_config.kms_key_name, google_compute_disk.kms_key_self_link, google_sql_database_instance.encryption_key_name.</t>
  </si>
  <si>
    <t>argocd-repo-secret.yaml has placeholder PAT in repo (likely real value previously committed)</t>
  </si>
  <si>
    <t>Delete the file. Recreate the repo Secret in-cluster via ESO sourcing from a GSM key argocd-github-pat (sealed at bootstrap). Move to a deploy-key per env if possible (read-only, repo-scoped). ROTATE THE PAT NOW since the placeholder implies a real value was committed earlier.</t>
  </si>
  <si>
    <t>Resilience (cluster-wide)</t>
  </si>
  <si>
    <t>Zero PodDisruptionBudgets defined anywhere</t>
  </si>
  <si>
    <t>Generate one PDB per Deployment via a Kustomize component. minAvailable:1 for any Deployment with replicas &gt;= 2; maxUnavailable:1 for singletons that tolerate brief downtime.</t>
  </si>
  <si>
    <t>No podAntiAffinity / topologySpreadConstraints</t>
  </si>
  <si>
    <t>Add to base Deployment template: topologySpreadConstraints with maxSkew:1, topologyKey:topology.kubernetes.io/zone, whenUnsatisfiable:ScheduleAnyway. Plus podAntiAffinity preferredDuringSchedulingIgnoredDuringExecution on app.kubernetes.io/name.</t>
  </si>
  <si>
    <t>No startup probes</t>
  </si>
  <si>
    <t>Add startupProbe (httpGet /health, failureThreshold:30, periodSeconds:5) to api/web. Lets you keep aggressive livenessProbe without false kills on slow Django boot.</t>
  </si>
  <si>
    <t>Memory request &lt;&lt; limit (omni-api 2Gi/4Gi) — OOM contention risk</t>
  </si>
  <si>
    <t>Set requests.memory == limits.memory (Guaranteed QoS). Pick the steady-state P99 from a 2-week baseline once Prometheus is in (#29).</t>
  </si>
  <si>
    <t>Image tags mutable (short-SHA, no digest pinning)</t>
  </si>
  <si>
    <t>Update scripts/bump-image.sh to resolve and write image: registry/x@sha256:... digests, not tags. Enforce via a Kyverno verifyImages policy referencing a Cosign public key.</t>
  </si>
  <si>
    <t>Data tier</t>
  </si>
  <si>
    <t>In-cluster Postgres/Redis/Mongo: single replica, no backup CronJob, StorageClass=standard</t>
  </si>
  <si>
    <t>DEV is fine. For QA/PRE: switch StorageClass to pd-balanced, add a CronJob running pg_dump/mongodump to a GCS bucket nightly with 14-day retention; also enable VolumeSnapshotClass + a daily VolumeSnapshot.</t>
  </si>
  <si>
    <t>PRE diverges from PRD (uses local DBs) — promotion can surprise</t>
  </si>
  <si>
    <t>Provision Cloud SQL + Memorystore for PRE via Terraform (smaller tier). Toggle USE_EXTERNAL_POSTGRESQL=true in PRE overlay. PRE must mirror PRD topology to be useful as a release gate.</t>
  </si>
  <si>
    <t>RabbitMQ in-cluster in PRD — single replica, no HA, no backup</t>
  </si>
  <si>
    <t>Either (a) deploy RabbitMQ Cluster Operator with 3 replicas + persistent quorum queues + PDB minAvailable:2, or (b) migrate to Cloud Pub/Sub or AmazonMQ-equivalent. (a) is the lower-risk move.</t>
  </si>
  <si>
    <t>Addons (PRD gap)</t>
  </si>
  <si>
    <t>PRD missing cert-manager / external-dns / KEDA / monitoring stack (addons/prod-gcp/ has only external-secrets)</t>
  </si>
  <si>
    <t>Confirm whether genuinely absent or installed out-of-band. If absent: copy addons/preprod-gcp/{cert-manager,external-dns,keda} to addons/prod-gcp/ and add ArgoCD Applications. PRD cannot autoscale workers without KEDA, cannot auto-issue certs, and any DNS change is manual.</t>
  </si>
  <si>
    <t>GitOps (ArgoCD)</t>
  </si>
  <si>
    <t>PRD auto-syncs from main — no tag pinning, no manual gate</t>
  </si>
  <si>
    <t>Change argocd-apps/prod-gcp/*.yaml targetRevision: main -&gt; targetRevision: vX.Y.Z (semver tag). Switch syncPolicy to automated:null + syncWindows kind:deny schedule:'* * * * *' manualSync:true so promotions become explicit.</t>
  </si>
  <si>
    <t>No CODEOWNERS / branch protection asserted in repo</t>
  </si>
  <si>
    <t>Add .github/CODEOWNERS requiring @crego-tech/platform for terraform/**, addons/**, argocd-apps/prod-gcp/**, cluster/**. In GitHub repo settings: protect main, require 2 reviews + status checks + Require linear history.</t>
  </si>
  <si>
    <t>Observability</t>
  </si>
  <si>
    <t>Sentry DSNs empty in config/clients.yaml</t>
  </si>
  <si>
    <t>Create per-env Sentry projects (omni / flow); store DSN in GSM under app-env.OMNI_SENTRY_DSN / FLOW_SENTRY_DSN; remove the empty values from config/clients.yaml so the secret is the single source of truth.</t>
  </si>
  <si>
    <t>No Prometheus / Grafana / Alertmanager / PrometheusRules</t>
  </si>
  <si>
    <t>Deploy kube-prometheus-stack via ArgoCD in addons/{preprod,prod}-gcp/monitoring/. Use GCP Managed Prometheus as the long-term store (already enabled at the cluster) and stack components only as scrape + UI. Provision dashboards as ConfigMaps.</t>
  </si>
  <si>
    <t>No OpenTelemetry collector / no app instrumentation</t>
  </si>
  <si>
    <t>Deploy OTel Collector as a DaemonSet (receives OTLP from sidecar-less SDK in apps), exports to Cloud Trace + Cloud Logging. Add opentelemetry-instrumentation-django / -celery to omni &amp; flow images.</t>
  </si>
  <si>
    <t>No centralised logs (RSYS_HOST/RSYS_PORT placeholders only)</t>
  </si>
  <si>
    <t>Cluster logs already flow to Cloud Logging via the GKE node SA roles/logging.logWriter. Add a log sink -&gt; BigQuery dataset crego_logs_{env} with partition expiration 400 days. Drop the rsyslog plumbing — use Cloud Logging structured JSON instead.</t>
  </si>
  <si>
    <t>No K8s API audit log sink / no ArgoCD audit retention</t>
  </si>
  <si>
    <t>GKE: enable --logging=SYSTEM,WORKLOAD,API_SERVER (already partly on; add API_SERVER). Sink to BQ as in #31. ArgoCD: enable controller.metrics.enabled and ship argocd-server audit events through the Cloud Logging sink.</t>
  </si>
  <si>
    <t>No kube-state-metrics / node-exporter / blackbox / synthetics</t>
  </si>
  <si>
    <t>Bundled with kube-prometheus-stack (#29). Add a Probe resource per public hostname for blackbox to give an external uptime SLI.</t>
  </si>
  <si>
    <t>No SLOs / alert routing (Slack / PagerDuty)</t>
  </si>
  <si>
    <t>Define starter SLOs in addons/{env}/monitoring/slo/: omni-api availability 99.5%, flow-api availability 99.5%, celery-queue-depth p95 &lt; 100. Wire Alertmanager -&gt; Slack #alerts-prd + PagerDuty for severity=critical.</t>
  </si>
  <si>
    <t>CI / CD</t>
  </si>
  <si>
    <t>No conftest / Open Policy Agent gate</t>
  </si>
  <si>
    <t>Add a policy/ directory with Rego rules: PSA labels present, runAsNonRoot, readOnlyRootFilesystem, resources set, image is digest-pinned, no :latest. Add 'conftest test -p policy/ apps/ overlays/ base/' to .github/workflows/validate-infra.yaml.</t>
  </si>
  <si>
    <t>No kubeconform / kubeval schema validation</t>
  </si>
  <si>
    <t>Add 'kubeconform -summary -strict -kubernetes-version 1.30.0' against kustomize build output of every overlay in CI.</t>
  </si>
  <si>
    <t>No tfsec / checkov / terrascan IaC scan</t>
  </si>
  <si>
    <t>Add aquasecurity/tfsec-action to a new terraform-validate.yaml workflow on terraform/** paths; fail on HIGH+. Optionally add checkov for compliance frameworks (CIS GCP, SOC 2).</t>
  </si>
  <si>
    <t>No image vulnerability scan (Trivy / Grype)</t>
  </si>
  <si>
    <t>Run Trivy in the app repos (omni, flow) at build time and fail on CRITICAL. In infra repo, run a nightly Trivy scan of all images currently referenced by kustomization.yaml and post a Slack digest.</t>
  </si>
  <si>
    <t>No 'terraform plan' on PR (drift undetected)</t>
  </si>
  <si>
    <t>New workflow: on PR touching terraform/**, run terraform fmt -check, terraform init, terraform validate, terraform plan -no-color -out plan.bin, post the plan as a PR comment via actions/github-script.</t>
  </si>
  <si>
    <t>No SBOM / signed commits / Sigstore</t>
  </si>
  <si>
    <t>Generate SBOM with anchore/sbom-action in app build pipelines; sign images with cosign sign --keyless (uses GH OIDC) and verify in the Kyverno policy from #21.</t>
  </si>
  <si>
    <t>Promotion via scripts (manual SHA pin)</t>
  </si>
  <si>
    <t>Replace bump-image.sh with an ArgoCD Image Updater (or Renovate) flow: PR is opened automatically when a new digest is pushed; merging promotes.</t>
  </si>
  <si>
    <t>Cluster platform / GKE</t>
  </si>
  <si>
    <t>Public control-plane endpoint, MAN defaults to 0.0.0.0/0</t>
  </si>
  <si>
    <t>In bootstrap script and Terraform: set master_authorized_networks_config to office CIDRs + a bastion IP only. Better: enable_private_endpoint=true and access via Identity-Aware Proxy (IAP) tunnel.</t>
  </si>
  <si>
    <t>VPC firewall allows ALL protocols/ports inside subnet/pod/svc CIDRs</t>
  </si>
  <si>
    <t>Replace blanket allow rule with explicit allows: TCP 5432 (PG), 6379 (Redis), 5672/15672 (RabbitMQ), 27017 (Mongo), 53 UDP/TCP, 443 (control plane).</t>
  </si>
  <si>
    <t>No CMEK on PD-SSD / Cloud SQL / GSM (cluster-platform restatement of #15)</t>
  </si>
  <si>
    <t>Same key as #15. Track together to avoid duplicate KMS provisioning work.</t>
  </si>
  <si>
    <t>No Binary Authorization / Kyverno / Gatekeeper admission policy</t>
  </si>
  <si>
    <t>Enable GKE Binary Authorization in enforce mode; require attestation by qa-attestor (signed in CI after tests pass) and vuln-attestor (signed by Trivy if no CRITICAL). Plus deploy Kyverno for the digest + signed-image policies (#21, #40).</t>
  </si>
  <si>
    <t>No GKE Backup / Velero / PV snapshot schedule</t>
  </si>
  <si>
    <t>Enable GKE Backup for GKE (managed). Define a BackupPlan per cluster: daily, retain 30 days, include all namespaces. Restore drill quarterly — log evidence under crego-internal-docs/compliance/disaster-recovery/.</t>
  </si>
  <si>
    <t>Single region asia-south1 — no DR / pilot-light</t>
  </si>
  <si>
    <t>Phase 1 (cheap): cross-region Cloud SQL read-replica in asia-south2, daily Cloud Storage cross-region backup of GKE Backup. Phase 2: pilot-light GKE in asia-south2, ArgoCD pre-staged but not synced; DNS failover via Cloud DNS health-check policies.</t>
  </si>
  <si>
    <t>Terraform / IaC</t>
  </si>
  <si>
    <t>DEV / QA / PRE provisioned via bootstrap-gcp.sh — drift-prone, no remote state</t>
  </si>
  <si>
    <t>Create terraform/environments/gcp/{dev,qa1,qa2,preprod}/ mirroring prod/. Import existing resources with terraform import. Move bootstrap script to a one-time terraform apply plus a minimal 'create the GCS state bucket' pre-step.</t>
  </si>
  <si>
    <t>No tfvars examples</t>
  </si>
  <si>
    <t>Add terraform.tfvars.example per env with safe defaults; commit and exclude real terraform.tfvars via .gitignore.</t>
  </si>
  <si>
    <t>No required_version pin in versions.tf</t>
  </si>
  <si>
    <t>L — Low</t>
  </si>
  <si>
    <t>Add terraform { required_version = '&gt;= 1.7.0, &lt; 2.0.0' } and pin provider versions.</t>
  </si>
  <si>
    <t>No drift detection (no scheduled terraform plan)</t>
  </si>
  <si>
    <t>Schedule a daily terraform plan GH Actions workflow per env; post diff to Slack #infra-drift if non-empty.</t>
  </si>
  <si>
    <t>IAM bindings for ESO / external-dns / KEDA done in bash, not Terraform; WI bindings created post-hoc by fix-external-secrets-auth.sh</t>
  </si>
  <si>
    <t>Move every gcloud iam service-accounts add-iam-policy-binding call into the relevant Terraform module (google_service_account_iam_member). The fix- script's existence is itself the bug.</t>
  </si>
  <si>
    <t>Crego Infra — Gap Register Summary</t>
  </si>
  <si>
    <t>By Severity</t>
  </si>
  <si>
    <t>Count</t>
  </si>
  <si>
    <t>Total</t>
  </si>
  <si>
    <t>By Sprint</t>
  </si>
  <si>
    <t>By Area</t>
  </si>
  <si>
    <t>Legend</t>
  </si>
  <si>
    <t>Code</t>
  </si>
  <si>
    <t>Meaning</t>
  </si>
  <si>
    <t>Action timing</t>
  </si>
  <si>
    <t>Block deployments / audit failure</t>
  </si>
  <si>
    <t>Immediate (Day-0)</t>
  </si>
  <si>
    <t>Significant security or reliability gap</t>
  </si>
  <si>
    <t>Within current quarter</t>
  </si>
  <si>
    <t>Hardening / hygiene improvement</t>
  </si>
  <si>
    <t>Backlog, time-bound</t>
  </si>
  <si>
    <t>Nice-to-have / housekeeping</t>
  </si>
  <si>
    <t>When touching the area</t>
  </si>
  <si>
    <t>Description</t>
  </si>
  <si>
    <t>Stop-the-bleeding — fix before next deploy</t>
  </si>
  <si>
    <t>First 2-week sprint — visible compliance + reliability wins</t>
  </si>
  <si>
    <t>Second sprint — hardening, scanning, observability depth</t>
  </si>
  <si>
    <t>Third sprint — DR, multi-region, IaC parity</t>
  </si>
  <si>
    <t>Time-permitting hygiene; revisit each quarter</t>
  </si>
  <si>
    <t>Acronyms</t>
  </si>
  <si>
    <t>Acronym</t>
  </si>
  <si>
    <t>HPA</t>
  </si>
  <si>
    <t>Horizontal Pod Autoscaler</t>
  </si>
  <si>
    <t>KEDA</t>
  </si>
  <si>
    <t>Kubernetes Event-Driven Autoscaling</t>
  </si>
  <si>
    <t>PDB</t>
  </si>
  <si>
    <t>Pod Disruption Budget</t>
  </si>
  <si>
    <t>PSA</t>
  </si>
  <si>
    <t>Pod Security Admission</t>
  </si>
  <si>
    <t>WI</t>
  </si>
  <si>
    <t>Workload Identity</t>
  </si>
  <si>
    <t>GSA</t>
  </si>
  <si>
    <t>Google Service Account</t>
  </si>
  <si>
    <t>KSA</t>
  </si>
  <si>
    <t>Kubernetes Service Account</t>
  </si>
  <si>
    <t>ESO</t>
  </si>
  <si>
    <t>External Secrets Operator</t>
  </si>
  <si>
    <t>GSM</t>
  </si>
  <si>
    <t>Google Secret Manager</t>
  </si>
  <si>
    <t>NEG</t>
  </si>
  <si>
    <t>Network Endpoint Group</t>
  </si>
  <si>
    <t>NP</t>
  </si>
  <si>
    <t>Network Policy</t>
  </si>
  <si>
    <t>MAN</t>
  </si>
  <si>
    <t>Master Authorized Networks</t>
  </si>
  <si>
    <t>CMEK</t>
  </si>
  <si>
    <t>Customer-Managed Encryption Keys</t>
  </si>
  <si>
    <t>BA</t>
  </si>
  <si>
    <t>Binary Authorization</t>
  </si>
  <si>
    <t>WAF</t>
  </si>
  <si>
    <t>Web Application Firewall</t>
  </si>
  <si>
    <t>SLO</t>
  </si>
  <si>
    <t>Service Level Objective</t>
  </si>
  <si>
    <t>OTel</t>
  </si>
  <si>
    <t>OpenTelemetry</t>
  </si>
  <si>
    <t>OPA</t>
  </si>
  <si>
    <t>Open Policy Agent</t>
  </si>
  <si>
    <t>SBOM</t>
  </si>
  <si>
    <t>Software Bill of Materials</t>
  </si>
  <si>
    <t>PITR</t>
  </si>
  <si>
    <t>Point-In-Time Recovery</t>
  </si>
  <si>
    <t>DR</t>
  </si>
  <si>
    <t>Disaster Recovery</t>
  </si>
  <si>
    <t>HA</t>
  </si>
  <si>
    <t>High Availability</t>
  </si>
  <si>
    <t>IaC</t>
  </si>
  <si>
    <t>Infrastructure-as-Code</t>
  </si>
  <si>
    <t>PAT</t>
  </si>
  <si>
    <t>Personal Access Token</t>
  </si>
  <si>
    <t>IAP</t>
  </si>
  <si>
    <t>Identity-Aware Proxy</t>
  </si>
  <si>
    <t>LE</t>
  </si>
  <si>
    <t>Let's Encrypt</t>
  </si>
  <si>
    <t>Required</t>
  </si>
  <si>
    <t>Already there docker file of flower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</si>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</sst>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name val="Arial"/>
    </font>
    <font>
      <b/>
      <sz val="12"/>
      <name val="Arial"/>
    </font>
    <font>
      <b/>
      <sz val="10"/>
      <name val="Arial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DBA74"/>
      </patternFill>
    </fill>
    <fill>
      <patternFill patternType="solid">
        <fgColor rgb="FFFEF3C7"/>
      </patternFill>
    </fill>
    <fill>
      <patternFill patternType="solid">
        <fgColor rgb="FFFED7AA"/>
      </patternFill>
    </fill>
    <fill>
      <patternFill patternType="solid">
        <fgColor rgb="FFFCA5A5"/>
      </patternFill>
    </fill>
    <fill>
      <patternFill patternType="solid">
        <fgColor rgb="FFFECACA"/>
      </patternFill>
    </fill>
    <fill>
      <patternFill patternType="solid">
        <fgColor rgb="FFFDE68A"/>
      </patternFill>
    </fill>
    <fill>
      <patternFill patternType="solid">
        <fgColor rgb="FFE5E7EB"/>
      </patternFill>
    </fill>
    <fill>
      <patternFill patternType="solid">
        <fgColor rgb="FFDBEAFE"/>
      </patternFill>
    </fill>
    <fill>
      <patternFill patternType="solid">
        <fgColor rgb="FFBFDBFE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center" vertical="top"/>
    </xf>
    <xf numFmtId="0" fontId="2" fillId="8" borderId="1" xfId="0" applyFont="1" applyFill="1" applyBorder="1" applyAlignment="1">
      <alignment horizontal="center" vertical="top"/>
    </xf>
    <xf numFmtId="0" fontId="2" fillId="9" borderId="1" xfId="0" applyFont="1" applyFill="1" applyBorder="1" applyAlignment="1">
      <alignment horizontal="center" vertical="top"/>
    </xf>
    <xf numFmtId="0" fontId="2" fillId="10" borderId="1" xfId="0" applyFont="1" applyFill="1" applyBorder="1" applyAlignment="1">
      <alignment horizontal="center" vertical="top"/>
    </xf>
    <xf numFmtId="0" fontId="2" fillId="11" borderId="1" xfId="0" applyFont="1" applyFill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1" fillId="2" borderId="1" xfId="0" applyFont="1" applyFill="1" applyBorder="1"/>
    <xf numFmtId="0" fontId="2" fillId="6" borderId="1" xfId="0" applyFont="1" applyFill="1" applyBorder="1"/>
    <xf numFmtId="0" fontId="2" fillId="0" borderId="1" xfId="0" applyFont="1" applyBorder="1"/>
    <xf numFmtId="0" fontId="2" fillId="3" borderId="1" xfId="0" applyFont="1" applyFill="1" applyBorder="1"/>
    <xf numFmtId="0" fontId="2" fillId="8" borderId="1" xfId="0" applyFont="1" applyFill="1" applyBorder="1"/>
    <xf numFmtId="0" fontId="2" fillId="11" borderId="1" xfId="0" applyFont="1" applyFill="1" applyBorder="1"/>
    <xf numFmtId="0" fontId="5" fillId="0" borderId="1" xfId="0" applyFont="1" applyBorder="1"/>
    <xf numFmtId="0" fontId="2" fillId="7" borderId="1" xfId="0" applyFont="1" applyFill="1" applyBorder="1"/>
    <xf numFmtId="0" fontId="2" fillId="5" borderId="1" xfId="0" applyFont="1" applyFill="1" applyBorder="1"/>
    <xf numFmtId="0" fontId="2" fillId="4" borderId="1" xfId="0" applyFont="1" applyFill="1" applyBorder="1"/>
    <xf numFmtId="0" fontId="2" fillId="10" borderId="1" xfId="0" applyFont="1" applyFill="1" applyBorder="1"/>
    <xf numFmtId="0" fontId="2" fillId="9" borderId="1" xfId="0" applyFont="1" applyFill="1" applyBorder="1"/>
    <xf numFmtId="0" fontId="2" fillId="6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3" fillId="0" borderId="0" xfId="0" applyFont="1"/>
    <xf numFmtId="0" fontId="0" fillId="0" borderId="0" xfId="0"/>
    <xf numFmtId="0" fontId="6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zoomScale="139" workbookViewId="0">
      <pane ySplit="1" topLeftCell="A2" activePane="bottomLeft" state="frozen"/>
      <selection pane="bottomLeft" activeCell="D52" sqref="D52"/>
    </sheetView>
  </sheetViews>
  <sheetFormatPr baseColWidth="10" defaultColWidth="8.83203125" defaultRowHeight="15" x14ac:dyDescent="0.2"/>
  <cols>
    <col min="1" max="1" width="4.6640625" bestFit="1" customWidth="1"/>
    <col min="2" max="2" width="24.33203125" bestFit="1" customWidth="1"/>
    <col min="3" max="3" width="59.1640625" bestFit="1" customWidth="1"/>
    <col min="4" max="4" width="21.33203125" customWidth="1"/>
    <col min="5" max="5" width="11" bestFit="1" customWidth="1"/>
    <col min="6" max="6" width="90" customWidth="1"/>
    <col min="7" max="7" width="9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</row>
    <row r="2" spans="1:7" ht="48" customHeight="1" x14ac:dyDescent="0.2">
      <c r="A2" s="2">
        <v>1</v>
      </c>
      <c r="B2" s="3" t="s">
        <v>6</v>
      </c>
      <c r="C2" s="3" t="s">
        <v>7</v>
      </c>
      <c r="D2" s="39" t="s">
        <v>210</v>
      </c>
      <c r="E2" s="4" t="s">
        <v>8</v>
      </c>
      <c r="F2" s="3" t="s">
        <v>9</v>
      </c>
      <c r="G2" s="5" t="s">
        <v>10</v>
      </c>
    </row>
    <row r="3" spans="1:7" ht="32" customHeight="1" x14ac:dyDescent="0.2">
      <c r="A3" s="2">
        <v>2</v>
      </c>
      <c r="B3" s="3" t="s">
        <v>6</v>
      </c>
      <c r="C3" s="3" t="s">
        <v>11</v>
      </c>
      <c r="D3" s="39" t="s">
        <v>210</v>
      </c>
      <c r="E3" s="4" t="s">
        <v>8</v>
      </c>
      <c r="F3" s="3" t="s">
        <v>12</v>
      </c>
      <c r="G3" s="6" t="s">
        <v>13</v>
      </c>
    </row>
    <row r="4" spans="1:7" ht="64" customHeight="1" x14ac:dyDescent="0.2">
      <c r="A4" s="2">
        <v>3</v>
      </c>
      <c r="B4" s="3" t="s">
        <v>6</v>
      </c>
      <c r="C4" s="3" t="s">
        <v>14</v>
      </c>
      <c r="D4" s="39" t="s">
        <v>210</v>
      </c>
      <c r="E4" s="4" t="s">
        <v>8</v>
      </c>
      <c r="F4" s="3" t="s">
        <v>15</v>
      </c>
      <c r="G4" s="6" t="s">
        <v>13</v>
      </c>
    </row>
    <row r="5" spans="1:7" ht="48" customHeight="1" x14ac:dyDescent="0.2">
      <c r="A5" s="2">
        <v>4</v>
      </c>
      <c r="B5" s="3" t="s">
        <v>16</v>
      </c>
      <c r="C5" s="3" t="s">
        <v>17</v>
      </c>
      <c r="D5" s="39" t="s">
        <v>210</v>
      </c>
      <c r="E5" s="7" t="s">
        <v>18</v>
      </c>
      <c r="F5" s="3" t="s">
        <v>19</v>
      </c>
      <c r="G5" s="8" t="s">
        <v>20</v>
      </c>
    </row>
    <row r="6" spans="1:7" ht="32" customHeight="1" x14ac:dyDescent="0.2">
      <c r="A6" s="2">
        <v>5</v>
      </c>
      <c r="B6" s="3" t="s">
        <v>16</v>
      </c>
      <c r="C6" s="3" t="s">
        <v>21</v>
      </c>
      <c r="D6" s="39" t="s">
        <v>210</v>
      </c>
      <c r="E6" s="9" t="s">
        <v>22</v>
      </c>
      <c r="F6" s="3" t="s">
        <v>23</v>
      </c>
      <c r="G6" s="10" t="s">
        <v>24</v>
      </c>
    </row>
    <row r="7" spans="1:7" ht="48" customHeight="1" x14ac:dyDescent="0.2">
      <c r="A7" s="2">
        <v>6</v>
      </c>
      <c r="B7" s="3" t="s">
        <v>16</v>
      </c>
      <c r="C7" s="3" t="s">
        <v>25</v>
      </c>
      <c r="D7" s="39" t="s">
        <v>210</v>
      </c>
      <c r="E7" s="4" t="s">
        <v>8</v>
      </c>
      <c r="F7" s="3" t="s">
        <v>26</v>
      </c>
      <c r="G7" s="10" t="s">
        <v>24</v>
      </c>
    </row>
    <row r="8" spans="1:7" ht="48" customHeight="1" x14ac:dyDescent="0.2">
      <c r="A8" s="2">
        <v>7</v>
      </c>
      <c r="B8" s="3" t="s">
        <v>16</v>
      </c>
      <c r="C8" s="3" t="s">
        <v>27</v>
      </c>
      <c r="D8" s="39" t="s">
        <v>211</v>
      </c>
      <c r="E8" s="4" t="s">
        <v>8</v>
      </c>
      <c r="F8" s="3" t="s">
        <v>28</v>
      </c>
      <c r="G8" s="10" t="s">
        <v>24</v>
      </c>
    </row>
    <row r="9" spans="1:7" ht="48" customHeight="1" x14ac:dyDescent="0.2">
      <c r="A9" s="2">
        <v>8</v>
      </c>
      <c r="B9" s="3" t="s">
        <v>29</v>
      </c>
      <c r="C9" s="3" t="s">
        <v>30</v>
      </c>
      <c r="D9" s="39" t="s">
        <v>210</v>
      </c>
      <c r="E9" s="4" t="s">
        <v>8</v>
      </c>
      <c r="F9" s="3" t="s">
        <v>31</v>
      </c>
      <c r="G9" s="6" t="s">
        <v>13</v>
      </c>
    </row>
    <row r="10" spans="1:7" ht="48" customHeight="1" x14ac:dyDescent="0.2">
      <c r="A10" s="2">
        <v>9</v>
      </c>
      <c r="B10" s="3" t="s">
        <v>29</v>
      </c>
      <c r="C10" s="3" t="s">
        <v>32</v>
      </c>
      <c r="D10" s="39" t="s">
        <v>210</v>
      </c>
      <c r="E10" s="7" t="s">
        <v>18</v>
      </c>
      <c r="F10" s="3" t="s">
        <v>33</v>
      </c>
      <c r="G10" s="8" t="s">
        <v>20</v>
      </c>
    </row>
    <row r="11" spans="1:7" ht="32" customHeight="1" x14ac:dyDescent="0.2">
      <c r="A11" s="2">
        <v>10</v>
      </c>
      <c r="B11" s="3" t="s">
        <v>29</v>
      </c>
      <c r="C11" s="3" t="s">
        <v>34</v>
      </c>
      <c r="D11" s="39" t="s">
        <v>210</v>
      </c>
      <c r="E11" s="4" t="s">
        <v>8</v>
      </c>
      <c r="F11" s="3" t="s">
        <v>35</v>
      </c>
      <c r="G11" s="5" t="s">
        <v>10</v>
      </c>
    </row>
    <row r="12" spans="1:7" ht="48" customHeight="1" x14ac:dyDescent="0.2">
      <c r="A12" s="2">
        <v>11</v>
      </c>
      <c r="B12" s="3" t="s">
        <v>29</v>
      </c>
      <c r="C12" s="3" t="s">
        <v>36</v>
      </c>
      <c r="D12" s="39" t="s">
        <v>212</v>
      </c>
      <c r="E12" s="4" t="s">
        <v>8</v>
      </c>
      <c r="F12" s="3" t="s">
        <v>37</v>
      </c>
      <c r="G12" s="6" t="s">
        <v>13</v>
      </c>
    </row>
    <row r="13" spans="1:7" ht="48" customHeight="1" x14ac:dyDescent="0.2">
      <c r="A13" s="2">
        <v>12</v>
      </c>
      <c r="B13" s="3" t="s">
        <v>38</v>
      </c>
      <c r="C13" s="3" t="s">
        <v>39</v>
      </c>
      <c r="D13" s="39" t="s">
        <v>212</v>
      </c>
      <c r="E13" s="4" t="s">
        <v>8</v>
      </c>
      <c r="F13" s="3" t="s">
        <v>40</v>
      </c>
      <c r="G13" s="11" t="s">
        <v>41</v>
      </c>
    </row>
    <row r="14" spans="1:7" ht="48" customHeight="1" x14ac:dyDescent="0.2">
      <c r="A14" s="2">
        <v>13</v>
      </c>
      <c r="B14" s="3" t="s">
        <v>38</v>
      </c>
      <c r="C14" s="3" t="s">
        <v>42</v>
      </c>
      <c r="D14" s="39" t="s">
        <v>212</v>
      </c>
      <c r="E14" s="4" t="s">
        <v>8</v>
      </c>
      <c r="F14" s="3" t="s">
        <v>43</v>
      </c>
      <c r="G14" s="11" t="s">
        <v>41</v>
      </c>
    </row>
    <row r="15" spans="1:7" ht="48" customHeight="1" x14ac:dyDescent="0.2">
      <c r="A15" s="2">
        <v>14</v>
      </c>
      <c r="B15" s="3" t="s">
        <v>44</v>
      </c>
      <c r="C15" s="3" t="s">
        <v>45</v>
      </c>
      <c r="D15" s="3"/>
      <c r="E15" s="4" t="s">
        <v>8</v>
      </c>
      <c r="F15" s="3" t="s">
        <v>46</v>
      </c>
      <c r="G15" s="5" t="s">
        <v>10</v>
      </c>
    </row>
    <row r="16" spans="1:7" ht="48" customHeight="1" x14ac:dyDescent="0.2">
      <c r="A16" s="2">
        <v>15</v>
      </c>
      <c r="B16" s="3" t="s">
        <v>44</v>
      </c>
      <c r="C16" s="3" t="s">
        <v>47</v>
      </c>
      <c r="D16" s="3"/>
      <c r="E16" s="4" t="s">
        <v>8</v>
      </c>
      <c r="F16" s="3" t="s">
        <v>48</v>
      </c>
      <c r="G16" s="5" t="s">
        <v>10</v>
      </c>
    </row>
    <row r="17" spans="1:7" ht="64" customHeight="1" x14ac:dyDescent="0.2">
      <c r="A17" s="2">
        <v>16</v>
      </c>
      <c r="B17" s="3" t="s">
        <v>44</v>
      </c>
      <c r="C17" s="3" t="s">
        <v>49</v>
      </c>
      <c r="D17" s="3"/>
      <c r="E17" s="7" t="s">
        <v>18</v>
      </c>
      <c r="F17" s="3" t="s">
        <v>50</v>
      </c>
      <c r="G17" s="8" t="s">
        <v>20</v>
      </c>
    </row>
    <row r="18" spans="1:7" ht="32" customHeight="1" x14ac:dyDescent="0.2">
      <c r="A18" s="2">
        <v>17</v>
      </c>
      <c r="B18" s="3" t="s">
        <v>51</v>
      </c>
      <c r="C18" s="3" t="s">
        <v>52</v>
      </c>
      <c r="D18" s="3"/>
      <c r="E18" s="7" t="s">
        <v>18</v>
      </c>
      <c r="F18" s="3" t="s">
        <v>53</v>
      </c>
      <c r="G18" s="8" t="s">
        <v>20</v>
      </c>
    </row>
    <row r="19" spans="1:7" ht="48" customHeight="1" x14ac:dyDescent="0.2">
      <c r="A19" s="2">
        <v>18</v>
      </c>
      <c r="B19" s="3" t="s">
        <v>51</v>
      </c>
      <c r="C19" s="3" t="s">
        <v>54</v>
      </c>
      <c r="D19" s="3"/>
      <c r="E19" s="7" t="s">
        <v>18</v>
      </c>
      <c r="F19" s="3" t="s">
        <v>55</v>
      </c>
      <c r="G19" s="6" t="s">
        <v>13</v>
      </c>
    </row>
    <row r="20" spans="1:7" ht="32" customHeight="1" x14ac:dyDescent="0.2">
      <c r="A20" s="2">
        <v>19</v>
      </c>
      <c r="B20" s="3" t="s">
        <v>51</v>
      </c>
      <c r="C20" s="3" t="s">
        <v>56</v>
      </c>
      <c r="D20" s="3"/>
      <c r="E20" s="9" t="s">
        <v>22</v>
      </c>
      <c r="F20" s="3" t="s">
        <v>57</v>
      </c>
      <c r="G20" s="10" t="s">
        <v>24</v>
      </c>
    </row>
    <row r="21" spans="1:7" ht="32" customHeight="1" x14ac:dyDescent="0.2">
      <c r="A21" s="2">
        <v>20</v>
      </c>
      <c r="B21" s="3" t="s">
        <v>51</v>
      </c>
      <c r="C21" s="3" t="s">
        <v>58</v>
      </c>
      <c r="D21" s="3"/>
      <c r="E21" s="9" t="s">
        <v>22</v>
      </c>
      <c r="F21" s="3" t="s">
        <v>59</v>
      </c>
      <c r="G21" s="10" t="s">
        <v>24</v>
      </c>
    </row>
    <row r="22" spans="1:7" ht="32" customHeight="1" x14ac:dyDescent="0.2">
      <c r="A22" s="2">
        <v>21</v>
      </c>
      <c r="B22" s="3" t="s">
        <v>51</v>
      </c>
      <c r="C22" s="3" t="s">
        <v>60</v>
      </c>
      <c r="D22" s="3"/>
      <c r="E22" s="4" t="s">
        <v>8</v>
      </c>
      <c r="F22" s="3" t="s">
        <v>61</v>
      </c>
      <c r="G22" s="5" t="s">
        <v>10</v>
      </c>
    </row>
    <row r="23" spans="1:7" ht="48" customHeight="1" x14ac:dyDescent="0.2">
      <c r="A23" s="2">
        <v>22</v>
      </c>
      <c r="B23" s="3" t="s">
        <v>62</v>
      </c>
      <c r="C23" s="3" t="s">
        <v>63</v>
      </c>
      <c r="D23" s="3"/>
      <c r="E23" s="4" t="s">
        <v>8</v>
      </c>
      <c r="F23" s="3" t="s">
        <v>64</v>
      </c>
      <c r="G23" s="5" t="s">
        <v>10</v>
      </c>
    </row>
    <row r="24" spans="1:7" ht="48" customHeight="1" x14ac:dyDescent="0.2">
      <c r="A24" s="2">
        <v>23</v>
      </c>
      <c r="B24" s="3" t="s">
        <v>62</v>
      </c>
      <c r="C24" s="3" t="s">
        <v>65</v>
      </c>
      <c r="D24" s="3"/>
      <c r="E24" s="4" t="s">
        <v>8</v>
      </c>
      <c r="F24" s="3" t="s">
        <v>66</v>
      </c>
      <c r="G24" s="5" t="s">
        <v>10</v>
      </c>
    </row>
    <row r="25" spans="1:7" ht="48" customHeight="1" x14ac:dyDescent="0.2">
      <c r="A25" s="2">
        <v>24</v>
      </c>
      <c r="B25" s="3" t="s">
        <v>62</v>
      </c>
      <c r="C25" s="3" t="s">
        <v>67</v>
      </c>
      <c r="D25" s="3"/>
      <c r="E25" s="7" t="s">
        <v>18</v>
      </c>
      <c r="F25" s="3" t="s">
        <v>68</v>
      </c>
      <c r="G25" s="6" t="s">
        <v>13</v>
      </c>
    </row>
    <row r="26" spans="1:7" ht="64" customHeight="1" x14ac:dyDescent="0.2">
      <c r="A26" s="2">
        <v>25</v>
      </c>
      <c r="B26" s="3" t="s">
        <v>69</v>
      </c>
      <c r="C26" s="3" t="s">
        <v>70</v>
      </c>
      <c r="D26" s="3"/>
      <c r="E26" s="7" t="s">
        <v>18</v>
      </c>
      <c r="F26" s="3" t="s">
        <v>71</v>
      </c>
      <c r="G26" s="8" t="s">
        <v>20</v>
      </c>
    </row>
    <row r="27" spans="1:7" ht="48" customHeight="1" x14ac:dyDescent="0.2">
      <c r="A27" s="2">
        <v>26</v>
      </c>
      <c r="B27" s="3" t="s">
        <v>72</v>
      </c>
      <c r="C27" s="3" t="s">
        <v>73</v>
      </c>
      <c r="D27" s="3"/>
      <c r="E27" s="4" t="s">
        <v>8</v>
      </c>
      <c r="F27" s="3" t="s">
        <v>74</v>
      </c>
      <c r="G27" s="6" t="s">
        <v>13</v>
      </c>
    </row>
    <row r="28" spans="1:7" ht="48" customHeight="1" x14ac:dyDescent="0.2">
      <c r="A28" s="2">
        <v>27</v>
      </c>
      <c r="B28" s="3" t="s">
        <v>72</v>
      </c>
      <c r="C28" s="3" t="s">
        <v>75</v>
      </c>
      <c r="D28" s="3"/>
      <c r="E28" s="4" t="s">
        <v>8</v>
      </c>
      <c r="F28" s="3" t="s">
        <v>76</v>
      </c>
      <c r="G28" s="6" t="s">
        <v>13</v>
      </c>
    </row>
    <row r="29" spans="1:7" ht="48" customHeight="1" x14ac:dyDescent="0.2">
      <c r="A29" s="2">
        <v>28</v>
      </c>
      <c r="B29" s="3" t="s">
        <v>77</v>
      </c>
      <c r="C29" s="3" t="s">
        <v>78</v>
      </c>
      <c r="D29" s="3"/>
      <c r="E29" s="4" t="s">
        <v>8</v>
      </c>
      <c r="F29" s="3" t="s">
        <v>79</v>
      </c>
      <c r="G29" s="5" t="s">
        <v>10</v>
      </c>
    </row>
    <row r="30" spans="1:7" ht="48" customHeight="1" x14ac:dyDescent="0.2">
      <c r="A30" s="2">
        <v>29</v>
      </c>
      <c r="B30" s="3" t="s">
        <v>77</v>
      </c>
      <c r="C30" s="3" t="s">
        <v>80</v>
      </c>
      <c r="D30" s="3"/>
      <c r="E30" s="7" t="s">
        <v>18</v>
      </c>
      <c r="F30" s="3" t="s">
        <v>81</v>
      </c>
      <c r="G30" s="6" t="s">
        <v>13</v>
      </c>
    </row>
    <row r="31" spans="1:7" ht="48" customHeight="1" x14ac:dyDescent="0.2">
      <c r="A31" s="2">
        <v>30</v>
      </c>
      <c r="B31" s="3" t="s">
        <v>77</v>
      </c>
      <c r="C31" s="3" t="s">
        <v>82</v>
      </c>
      <c r="D31" s="3"/>
      <c r="E31" s="4" t="s">
        <v>8</v>
      </c>
      <c r="F31" s="3" t="s">
        <v>83</v>
      </c>
      <c r="G31" s="5" t="s">
        <v>10</v>
      </c>
    </row>
    <row r="32" spans="1:7" ht="48" customHeight="1" x14ac:dyDescent="0.2">
      <c r="A32" s="2">
        <v>31</v>
      </c>
      <c r="B32" s="3" t="s">
        <v>77</v>
      </c>
      <c r="C32" s="3" t="s">
        <v>84</v>
      </c>
      <c r="D32" s="3"/>
      <c r="E32" s="7" t="s">
        <v>18</v>
      </c>
      <c r="F32" s="3" t="s">
        <v>85</v>
      </c>
      <c r="G32" s="6" t="s">
        <v>13</v>
      </c>
    </row>
    <row r="33" spans="1:7" ht="48" customHeight="1" x14ac:dyDescent="0.2">
      <c r="A33" s="2">
        <v>32</v>
      </c>
      <c r="B33" s="3" t="s">
        <v>77</v>
      </c>
      <c r="C33" s="3" t="s">
        <v>86</v>
      </c>
      <c r="D33" s="3"/>
      <c r="E33" s="7" t="s">
        <v>18</v>
      </c>
      <c r="F33" s="3" t="s">
        <v>87</v>
      </c>
      <c r="G33" s="6" t="s">
        <v>13</v>
      </c>
    </row>
    <row r="34" spans="1:7" ht="32" customHeight="1" x14ac:dyDescent="0.2">
      <c r="A34" s="2">
        <v>33</v>
      </c>
      <c r="B34" s="3" t="s">
        <v>77</v>
      </c>
      <c r="C34" s="3" t="s">
        <v>88</v>
      </c>
      <c r="D34" s="3"/>
      <c r="E34" s="4" t="s">
        <v>8</v>
      </c>
      <c r="F34" s="3" t="s">
        <v>89</v>
      </c>
      <c r="G34" s="5" t="s">
        <v>10</v>
      </c>
    </row>
    <row r="35" spans="1:7" ht="48" customHeight="1" x14ac:dyDescent="0.2">
      <c r="A35" s="2">
        <v>34</v>
      </c>
      <c r="B35" s="3" t="s">
        <v>77</v>
      </c>
      <c r="C35" s="3" t="s">
        <v>90</v>
      </c>
      <c r="D35" s="3"/>
      <c r="E35" s="4" t="s">
        <v>8</v>
      </c>
      <c r="F35" s="3" t="s">
        <v>91</v>
      </c>
      <c r="G35" s="5" t="s">
        <v>10</v>
      </c>
    </row>
    <row r="36" spans="1:7" ht="48" customHeight="1" x14ac:dyDescent="0.2">
      <c r="A36" s="2">
        <v>35</v>
      </c>
      <c r="B36" s="3" t="s">
        <v>92</v>
      </c>
      <c r="C36" s="3" t="s">
        <v>93</v>
      </c>
      <c r="D36" s="3"/>
      <c r="E36" s="4" t="s">
        <v>8</v>
      </c>
      <c r="F36" s="3" t="s">
        <v>94</v>
      </c>
      <c r="G36" s="6" t="s">
        <v>13</v>
      </c>
    </row>
    <row r="37" spans="1:7" ht="32" customHeight="1" x14ac:dyDescent="0.2">
      <c r="A37" s="2">
        <v>36</v>
      </c>
      <c r="B37" s="3" t="s">
        <v>92</v>
      </c>
      <c r="C37" s="3" t="s">
        <v>95</v>
      </c>
      <c r="D37" s="3"/>
      <c r="E37" s="9" t="s">
        <v>22</v>
      </c>
      <c r="F37" s="3" t="s">
        <v>96</v>
      </c>
      <c r="G37" s="10" t="s">
        <v>24</v>
      </c>
    </row>
    <row r="38" spans="1:7" ht="32" customHeight="1" x14ac:dyDescent="0.2">
      <c r="A38" s="2">
        <v>37</v>
      </c>
      <c r="B38" s="3" t="s">
        <v>92</v>
      </c>
      <c r="C38" s="3" t="s">
        <v>97</v>
      </c>
      <c r="D38" s="3"/>
      <c r="E38" s="4" t="s">
        <v>8</v>
      </c>
      <c r="F38" s="3" t="s">
        <v>98</v>
      </c>
      <c r="G38" s="5" t="s">
        <v>10</v>
      </c>
    </row>
    <row r="39" spans="1:7" ht="48" customHeight="1" x14ac:dyDescent="0.2">
      <c r="A39" s="2">
        <v>38</v>
      </c>
      <c r="B39" s="3" t="s">
        <v>92</v>
      </c>
      <c r="C39" s="3" t="s">
        <v>99</v>
      </c>
      <c r="D39" s="3"/>
      <c r="E39" s="4" t="s">
        <v>8</v>
      </c>
      <c r="F39" s="3" t="s">
        <v>100</v>
      </c>
      <c r="G39" s="5" t="s">
        <v>10</v>
      </c>
    </row>
    <row r="40" spans="1:7" ht="48" customHeight="1" x14ac:dyDescent="0.2">
      <c r="A40" s="2">
        <v>39</v>
      </c>
      <c r="B40" s="3" t="s">
        <v>92</v>
      </c>
      <c r="C40" s="3" t="s">
        <v>101</v>
      </c>
      <c r="D40" s="3"/>
      <c r="E40" s="4" t="s">
        <v>8</v>
      </c>
      <c r="F40" s="3" t="s">
        <v>102</v>
      </c>
      <c r="G40" s="6" t="s">
        <v>13</v>
      </c>
    </row>
    <row r="41" spans="1:7" ht="32" customHeight="1" x14ac:dyDescent="0.2">
      <c r="A41" s="2">
        <v>40</v>
      </c>
      <c r="B41" s="3" t="s">
        <v>92</v>
      </c>
      <c r="C41" s="3" t="s">
        <v>103</v>
      </c>
      <c r="D41" s="3"/>
      <c r="E41" s="9" t="s">
        <v>22</v>
      </c>
      <c r="F41" s="3" t="s">
        <v>104</v>
      </c>
      <c r="G41" s="5" t="s">
        <v>10</v>
      </c>
    </row>
    <row r="42" spans="1:7" ht="32" customHeight="1" x14ac:dyDescent="0.2">
      <c r="A42" s="2">
        <v>41</v>
      </c>
      <c r="B42" s="3" t="s">
        <v>92</v>
      </c>
      <c r="C42" s="3" t="s">
        <v>105</v>
      </c>
      <c r="D42" s="3"/>
      <c r="E42" s="9" t="s">
        <v>22</v>
      </c>
      <c r="F42" s="3" t="s">
        <v>106</v>
      </c>
      <c r="G42" s="10" t="s">
        <v>24</v>
      </c>
    </row>
    <row r="43" spans="1:7" ht="48" customHeight="1" x14ac:dyDescent="0.2">
      <c r="A43" s="2">
        <v>42</v>
      </c>
      <c r="B43" s="3" t="s">
        <v>107</v>
      </c>
      <c r="C43" s="3" t="s">
        <v>108</v>
      </c>
      <c r="D43" s="3"/>
      <c r="E43" s="7" t="s">
        <v>18</v>
      </c>
      <c r="F43" s="3" t="s">
        <v>109</v>
      </c>
      <c r="G43" s="8" t="s">
        <v>20</v>
      </c>
    </row>
    <row r="44" spans="1:7" ht="32" customHeight="1" x14ac:dyDescent="0.2">
      <c r="A44" s="2">
        <v>43</v>
      </c>
      <c r="B44" s="3" t="s">
        <v>107</v>
      </c>
      <c r="C44" s="3" t="s">
        <v>110</v>
      </c>
      <c r="D44" s="3"/>
      <c r="E44" s="4" t="s">
        <v>8</v>
      </c>
      <c r="F44" s="3" t="s">
        <v>111</v>
      </c>
      <c r="G44" s="5" t="s">
        <v>10</v>
      </c>
    </row>
    <row r="45" spans="1:7" ht="32" customHeight="1" x14ac:dyDescent="0.2">
      <c r="A45" s="2">
        <v>44</v>
      </c>
      <c r="B45" s="3" t="s">
        <v>107</v>
      </c>
      <c r="C45" s="3" t="s">
        <v>112</v>
      </c>
      <c r="D45" s="3"/>
      <c r="E45" s="4" t="s">
        <v>8</v>
      </c>
      <c r="F45" s="3" t="s">
        <v>113</v>
      </c>
      <c r="G45" s="10" t="s">
        <v>24</v>
      </c>
    </row>
    <row r="46" spans="1:7" ht="48" customHeight="1" x14ac:dyDescent="0.2">
      <c r="A46" s="2">
        <v>45</v>
      </c>
      <c r="B46" s="3" t="s">
        <v>107</v>
      </c>
      <c r="C46" s="3" t="s">
        <v>114</v>
      </c>
      <c r="D46" s="3"/>
      <c r="E46" s="4" t="s">
        <v>8</v>
      </c>
      <c r="F46" s="3" t="s">
        <v>115</v>
      </c>
      <c r="G46" s="11" t="s">
        <v>41</v>
      </c>
    </row>
    <row r="47" spans="1:7" ht="48" customHeight="1" x14ac:dyDescent="0.2">
      <c r="A47" s="2">
        <v>46</v>
      </c>
      <c r="B47" s="3" t="s">
        <v>107</v>
      </c>
      <c r="C47" s="3" t="s">
        <v>116</v>
      </c>
      <c r="D47" s="3"/>
      <c r="E47" s="7" t="s">
        <v>18</v>
      </c>
      <c r="F47" s="3" t="s">
        <v>117</v>
      </c>
      <c r="G47" s="11" t="s">
        <v>41</v>
      </c>
    </row>
    <row r="48" spans="1:7" ht="48" customHeight="1" x14ac:dyDescent="0.2">
      <c r="A48" s="2">
        <v>47</v>
      </c>
      <c r="B48" s="3" t="s">
        <v>107</v>
      </c>
      <c r="C48" s="3" t="s">
        <v>118</v>
      </c>
      <c r="D48" s="3"/>
      <c r="E48" s="7" t="s">
        <v>18</v>
      </c>
      <c r="F48" s="3" t="s">
        <v>119</v>
      </c>
      <c r="G48" s="11" t="s">
        <v>41</v>
      </c>
    </row>
    <row r="49" spans="1:7" ht="48" customHeight="1" x14ac:dyDescent="0.2">
      <c r="A49" s="2">
        <v>48</v>
      </c>
      <c r="B49" s="3" t="s">
        <v>120</v>
      </c>
      <c r="C49" s="3" t="s">
        <v>121</v>
      </c>
      <c r="D49" s="3"/>
      <c r="E49" s="4" t="s">
        <v>8</v>
      </c>
      <c r="F49" s="3" t="s">
        <v>122</v>
      </c>
      <c r="G49" s="11" t="s">
        <v>41</v>
      </c>
    </row>
    <row r="50" spans="1:7" ht="32" customHeight="1" x14ac:dyDescent="0.2">
      <c r="A50" s="2">
        <v>49</v>
      </c>
      <c r="B50" s="3" t="s">
        <v>120</v>
      </c>
      <c r="C50" s="3" t="s">
        <v>123</v>
      </c>
      <c r="D50" s="3"/>
      <c r="E50" s="9" t="s">
        <v>22</v>
      </c>
      <c r="F50" s="3" t="s">
        <v>124</v>
      </c>
      <c r="G50" s="10" t="s">
        <v>24</v>
      </c>
    </row>
    <row r="51" spans="1:7" ht="30" customHeight="1" x14ac:dyDescent="0.2">
      <c r="A51" s="2">
        <v>50</v>
      </c>
      <c r="B51" s="3" t="s">
        <v>120</v>
      </c>
      <c r="C51" s="3" t="s">
        <v>125</v>
      </c>
      <c r="D51" s="3"/>
      <c r="E51" s="12" t="s">
        <v>126</v>
      </c>
      <c r="F51" s="3" t="s">
        <v>127</v>
      </c>
      <c r="G51" s="10" t="s">
        <v>24</v>
      </c>
    </row>
    <row r="52" spans="1:7" ht="32" customHeight="1" x14ac:dyDescent="0.2">
      <c r="A52" s="2">
        <v>51</v>
      </c>
      <c r="B52" s="3" t="s">
        <v>120</v>
      </c>
      <c r="C52" s="3" t="s">
        <v>128</v>
      </c>
      <c r="D52" s="3"/>
      <c r="E52" s="4" t="s">
        <v>8</v>
      </c>
      <c r="F52" s="3" t="s">
        <v>129</v>
      </c>
      <c r="G52" s="11" t="s">
        <v>41</v>
      </c>
    </row>
    <row r="53" spans="1:7" ht="48" customHeight="1" x14ac:dyDescent="0.2">
      <c r="A53" s="2">
        <v>52</v>
      </c>
      <c r="B53" s="3" t="s">
        <v>120</v>
      </c>
      <c r="C53" s="3" t="s">
        <v>130</v>
      </c>
      <c r="D53" s="3"/>
      <c r="E53" s="9" t="s">
        <v>22</v>
      </c>
      <c r="F53" s="3" t="s">
        <v>131</v>
      </c>
      <c r="G53" s="10" t="s">
        <v>24</v>
      </c>
    </row>
  </sheetData>
  <autoFilter ref="A1:G53" xr:uid="{00000000-0009-0000-0000-000000000000}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workbookViewId="0">
      <pane ySplit="1" topLeftCell="A2" activePane="bottomLeft" state="frozen"/>
      <selection pane="bottomLeft" sqref="A1:D1"/>
    </sheetView>
  </sheetViews>
  <sheetFormatPr baseColWidth="10" defaultColWidth="8.83203125" defaultRowHeight="15" x14ac:dyDescent="0.2"/>
  <cols>
    <col min="1" max="1" width="36" customWidth="1"/>
    <col min="2" max="2" width="12" customWidth="1"/>
  </cols>
  <sheetData>
    <row r="1" spans="1:4" ht="18" x14ac:dyDescent="0.2">
      <c r="A1" s="37" t="s">
        <v>132</v>
      </c>
      <c r="B1" s="38"/>
      <c r="C1" s="38"/>
      <c r="D1" s="38"/>
    </row>
    <row r="3" spans="1:4" ht="16" x14ac:dyDescent="0.2">
      <c r="A3" s="14" t="s">
        <v>133</v>
      </c>
    </row>
    <row r="4" spans="1:4" x14ac:dyDescent="0.2">
      <c r="A4" s="15" t="s">
        <v>3</v>
      </c>
      <c r="B4" s="15" t="s">
        <v>134</v>
      </c>
    </row>
    <row r="5" spans="1:4" x14ac:dyDescent="0.2">
      <c r="A5" s="16" t="s">
        <v>18</v>
      </c>
      <c r="B5" s="17">
        <f>COUNTIF('Gap Register'!E:E,"C — Critical")</f>
        <v>13</v>
      </c>
    </row>
    <row r="6" spans="1:4" x14ac:dyDescent="0.2">
      <c r="A6" s="18" t="s">
        <v>8</v>
      </c>
      <c r="B6" s="17">
        <f>COUNTIF('Gap Register'!E:E,"H — High")</f>
        <v>30</v>
      </c>
    </row>
    <row r="7" spans="1:4" x14ac:dyDescent="0.2">
      <c r="A7" s="19" t="s">
        <v>22</v>
      </c>
      <c r="B7" s="17">
        <f>COUNTIF('Gap Register'!E:E,"M — Medium")</f>
        <v>8</v>
      </c>
    </row>
    <row r="8" spans="1:4" x14ac:dyDescent="0.2">
      <c r="A8" s="20" t="s">
        <v>126</v>
      </c>
      <c r="B8" s="17">
        <f>COUNTIF('Gap Register'!E:E,"L — Low")</f>
        <v>1</v>
      </c>
    </row>
    <row r="9" spans="1:4" x14ac:dyDescent="0.2">
      <c r="A9" s="21" t="s">
        <v>135</v>
      </c>
      <c r="B9" s="21">
        <f>SUM(B5:B8)</f>
        <v>52</v>
      </c>
    </row>
    <row r="12" spans="1:4" ht="16" x14ac:dyDescent="0.2">
      <c r="A12" s="14" t="s">
        <v>136</v>
      </c>
    </row>
    <row r="13" spans="1:4" x14ac:dyDescent="0.2">
      <c r="A13" s="15" t="s">
        <v>5</v>
      </c>
      <c r="B13" s="15" t="s">
        <v>134</v>
      </c>
    </row>
    <row r="14" spans="1:4" x14ac:dyDescent="0.2">
      <c r="A14" s="22" t="s">
        <v>20</v>
      </c>
      <c r="B14" s="17">
        <f>COUNTIF('Gap Register'!G:G,"Day-0")</f>
        <v>6</v>
      </c>
    </row>
    <row r="15" spans="1:4" x14ac:dyDescent="0.2">
      <c r="A15" s="23" t="s">
        <v>13</v>
      </c>
      <c r="B15" s="17">
        <f>COUNTIF('Gap Register'!G:G,"Sprint 1")</f>
        <v>13</v>
      </c>
    </row>
    <row r="16" spans="1:4" x14ac:dyDescent="0.2">
      <c r="A16" s="24" t="s">
        <v>10</v>
      </c>
      <c r="B16" s="17">
        <f>COUNTIF('Gap Register'!G:G,"Sprint 2")</f>
        <v>15</v>
      </c>
    </row>
    <row r="17" spans="1:2" x14ac:dyDescent="0.2">
      <c r="A17" s="25" t="s">
        <v>41</v>
      </c>
      <c r="B17" s="17">
        <f>COUNTIF('Gap Register'!G:G,"Sprint 3")</f>
        <v>7</v>
      </c>
    </row>
    <row r="18" spans="1:2" x14ac:dyDescent="0.2">
      <c r="A18" s="26" t="s">
        <v>24</v>
      </c>
      <c r="B18" s="17">
        <f>COUNTIF('Gap Register'!G:G,"Backlog")</f>
        <v>11</v>
      </c>
    </row>
    <row r="19" spans="1:2" x14ac:dyDescent="0.2">
      <c r="A19" s="21" t="s">
        <v>135</v>
      </c>
      <c r="B19" s="21">
        <f>SUM(B14:B18)</f>
        <v>52</v>
      </c>
    </row>
    <row r="22" spans="1:2" ht="16" x14ac:dyDescent="0.2">
      <c r="A22" s="14" t="s">
        <v>137</v>
      </c>
    </row>
    <row r="23" spans="1:2" x14ac:dyDescent="0.2">
      <c r="A23" s="15" t="s">
        <v>1</v>
      </c>
      <c r="B23" s="15" t="s">
        <v>134</v>
      </c>
    </row>
    <row r="24" spans="1:2" x14ac:dyDescent="0.2">
      <c r="A24" s="17" t="s">
        <v>6</v>
      </c>
      <c r="B24" s="17">
        <f>COUNTIF('Gap Register'!B:B,"Edge &amp; TLS")</f>
        <v>3</v>
      </c>
    </row>
    <row r="25" spans="1:2" x14ac:dyDescent="0.2">
      <c r="A25" s="17" t="s">
        <v>16</v>
      </c>
      <c r="B25" s="17">
        <f>COUNTIF('Gap Register'!B:B,"App tier")</f>
        <v>4</v>
      </c>
    </row>
    <row r="26" spans="1:2" x14ac:dyDescent="0.2">
      <c r="A26" s="17" t="s">
        <v>29</v>
      </c>
      <c r="B26" s="17">
        <f>COUNTIF('Gap Register'!B:B,"Identity / RBAC / Pod security")</f>
        <v>4</v>
      </c>
    </row>
    <row r="27" spans="1:2" x14ac:dyDescent="0.2">
      <c r="A27" s="17" t="s">
        <v>38</v>
      </c>
      <c r="B27" s="17">
        <f>COUNTIF('Gap Register'!B:B,"Network policy")</f>
        <v>2</v>
      </c>
    </row>
    <row r="28" spans="1:2" x14ac:dyDescent="0.2">
      <c r="A28" s="17" t="s">
        <v>44</v>
      </c>
      <c r="B28" s="17">
        <f>COUNTIF('Gap Register'!B:B,"Secrets pipeline")</f>
        <v>3</v>
      </c>
    </row>
    <row r="29" spans="1:2" x14ac:dyDescent="0.2">
      <c r="A29" s="17" t="s">
        <v>51</v>
      </c>
      <c r="B29" s="17">
        <f>COUNTIF('Gap Register'!B:B,"Resilience (cluster-wide)")</f>
        <v>5</v>
      </c>
    </row>
    <row r="30" spans="1:2" x14ac:dyDescent="0.2">
      <c r="A30" s="17" t="s">
        <v>62</v>
      </c>
      <c r="B30" s="17">
        <f>COUNTIF('Gap Register'!B:B,"Data tier")</f>
        <v>3</v>
      </c>
    </row>
    <row r="31" spans="1:2" x14ac:dyDescent="0.2">
      <c r="A31" s="17" t="s">
        <v>69</v>
      </c>
      <c r="B31" s="17">
        <f>COUNTIF('Gap Register'!B:B,"Addons (PRD gap)")</f>
        <v>1</v>
      </c>
    </row>
    <row r="32" spans="1:2" x14ac:dyDescent="0.2">
      <c r="A32" s="17" t="s">
        <v>72</v>
      </c>
      <c r="B32" s="17">
        <f>COUNTIF('Gap Register'!B:B,"GitOps (ArgoCD)")</f>
        <v>2</v>
      </c>
    </row>
    <row r="33" spans="1:2" x14ac:dyDescent="0.2">
      <c r="A33" s="17" t="s">
        <v>77</v>
      </c>
      <c r="B33" s="17">
        <f>COUNTIF('Gap Register'!B:B,"Observability")</f>
        <v>7</v>
      </c>
    </row>
    <row r="34" spans="1:2" x14ac:dyDescent="0.2">
      <c r="A34" s="17" t="s">
        <v>92</v>
      </c>
      <c r="B34" s="17">
        <f>COUNTIF('Gap Register'!B:B,"CI / CD")</f>
        <v>7</v>
      </c>
    </row>
    <row r="35" spans="1:2" x14ac:dyDescent="0.2">
      <c r="A35" s="17" t="s">
        <v>107</v>
      </c>
      <c r="B35" s="17">
        <f>COUNTIF('Gap Register'!B:B,"Cluster platform / GKE")</f>
        <v>6</v>
      </c>
    </row>
    <row r="36" spans="1:2" x14ac:dyDescent="0.2">
      <c r="A36" s="17" t="s">
        <v>120</v>
      </c>
      <c r="B36" s="17">
        <f>COUNTIF('Gap Register'!B:B,"Terraform / IaC")</f>
        <v>5</v>
      </c>
    </row>
    <row r="37" spans="1:2" x14ac:dyDescent="0.2">
      <c r="A37" s="21" t="s">
        <v>135</v>
      </c>
      <c r="B37" s="21">
        <f>SUM(B24:B36)</f>
        <v>52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7"/>
  <sheetViews>
    <sheetView tabSelected="1" topLeftCell="A14" workbookViewId="0">
      <selection activeCell="B35" sqref="B35"/>
    </sheetView>
  </sheetViews>
  <sheetFormatPr baseColWidth="10" defaultColWidth="8.83203125" defaultRowHeight="15" x14ac:dyDescent="0.2"/>
  <cols>
    <col min="1" max="1" width="18" customWidth="1"/>
    <col min="2" max="2" width="60" customWidth="1"/>
    <col min="3" max="3" width="28" customWidth="1"/>
  </cols>
  <sheetData>
    <row r="1" spans="1:3" ht="18" x14ac:dyDescent="0.2">
      <c r="A1" s="13" t="s">
        <v>138</v>
      </c>
    </row>
    <row r="3" spans="1:3" ht="16" x14ac:dyDescent="0.2">
      <c r="A3" s="14" t="s">
        <v>3</v>
      </c>
    </row>
    <row r="4" spans="1:3" x14ac:dyDescent="0.2">
      <c r="A4" s="15" t="s">
        <v>139</v>
      </c>
      <c r="B4" s="15" t="s">
        <v>140</v>
      </c>
      <c r="C4" s="15" t="s">
        <v>141</v>
      </c>
    </row>
    <row r="5" spans="1:3" x14ac:dyDescent="0.2">
      <c r="A5" s="27" t="s">
        <v>18</v>
      </c>
      <c r="B5" s="28" t="s">
        <v>142</v>
      </c>
      <c r="C5" s="28" t="s">
        <v>143</v>
      </c>
    </row>
    <row r="6" spans="1:3" x14ac:dyDescent="0.2">
      <c r="A6" s="29" t="s">
        <v>8</v>
      </c>
      <c r="B6" s="28" t="s">
        <v>144</v>
      </c>
      <c r="C6" s="28" t="s">
        <v>145</v>
      </c>
    </row>
    <row r="7" spans="1:3" x14ac:dyDescent="0.2">
      <c r="A7" s="30" t="s">
        <v>22</v>
      </c>
      <c r="B7" s="28" t="s">
        <v>146</v>
      </c>
      <c r="C7" s="28" t="s">
        <v>147</v>
      </c>
    </row>
    <row r="8" spans="1:3" x14ac:dyDescent="0.2">
      <c r="A8" s="31" t="s">
        <v>126</v>
      </c>
      <c r="B8" s="28" t="s">
        <v>148</v>
      </c>
      <c r="C8" s="28" t="s">
        <v>149</v>
      </c>
    </row>
    <row r="11" spans="1:3" ht="16" x14ac:dyDescent="0.2">
      <c r="A11" s="14" t="s">
        <v>5</v>
      </c>
    </row>
    <row r="12" spans="1:3" x14ac:dyDescent="0.2">
      <c r="A12" s="15" t="s">
        <v>5</v>
      </c>
      <c r="B12" s="15" t="s">
        <v>150</v>
      </c>
    </row>
    <row r="13" spans="1:3" x14ac:dyDescent="0.2">
      <c r="A13" s="32" t="s">
        <v>20</v>
      </c>
      <c r="B13" s="28" t="s">
        <v>151</v>
      </c>
    </row>
    <row r="14" spans="1:3" x14ac:dyDescent="0.2">
      <c r="A14" s="33" t="s">
        <v>13</v>
      </c>
      <c r="B14" s="28" t="s">
        <v>152</v>
      </c>
    </row>
    <row r="15" spans="1:3" x14ac:dyDescent="0.2">
      <c r="A15" s="34" t="s">
        <v>10</v>
      </c>
      <c r="B15" s="28" t="s">
        <v>153</v>
      </c>
    </row>
    <row r="16" spans="1:3" x14ac:dyDescent="0.2">
      <c r="A16" s="35" t="s">
        <v>41</v>
      </c>
      <c r="B16" s="28" t="s">
        <v>154</v>
      </c>
    </row>
    <row r="17" spans="1:2" x14ac:dyDescent="0.2">
      <c r="A17" s="36" t="s">
        <v>24</v>
      </c>
      <c r="B17" s="28" t="s">
        <v>155</v>
      </c>
    </row>
    <row r="20" spans="1:2" ht="16" x14ac:dyDescent="0.2">
      <c r="A20" s="14" t="s">
        <v>156</v>
      </c>
    </row>
    <row r="21" spans="1:2" x14ac:dyDescent="0.2">
      <c r="A21" s="15" t="s">
        <v>157</v>
      </c>
      <c r="B21" s="15" t="s">
        <v>140</v>
      </c>
    </row>
    <row r="22" spans="1:2" x14ac:dyDescent="0.2">
      <c r="A22" s="17" t="s">
        <v>158</v>
      </c>
      <c r="B22" s="17" t="s">
        <v>159</v>
      </c>
    </row>
    <row r="23" spans="1:2" x14ac:dyDescent="0.2">
      <c r="A23" s="17" t="s">
        <v>160</v>
      </c>
      <c r="B23" s="17" t="s">
        <v>161</v>
      </c>
    </row>
    <row r="24" spans="1:2" x14ac:dyDescent="0.2">
      <c r="A24" s="17" t="s">
        <v>162</v>
      </c>
      <c r="B24" s="17" t="s">
        <v>163</v>
      </c>
    </row>
    <row r="25" spans="1:2" x14ac:dyDescent="0.2">
      <c r="A25" s="17" t="s">
        <v>164</v>
      </c>
      <c r="B25" s="17" t="s">
        <v>165</v>
      </c>
    </row>
    <row r="26" spans="1:2" x14ac:dyDescent="0.2">
      <c r="A26" s="17" t="s">
        <v>166</v>
      </c>
      <c r="B26" s="17" t="s">
        <v>167</v>
      </c>
    </row>
    <row r="27" spans="1:2" x14ac:dyDescent="0.2">
      <c r="A27" s="17" t="s">
        <v>168</v>
      </c>
      <c r="B27" s="17" t="s">
        <v>169</v>
      </c>
    </row>
    <row r="28" spans="1:2" x14ac:dyDescent="0.2">
      <c r="A28" s="17" t="s">
        <v>170</v>
      </c>
      <c r="B28" s="17" t="s">
        <v>171</v>
      </c>
    </row>
    <row r="29" spans="1:2" x14ac:dyDescent="0.2">
      <c r="A29" s="17" t="s">
        <v>172</v>
      </c>
      <c r="B29" s="17" t="s">
        <v>173</v>
      </c>
    </row>
    <row r="30" spans="1:2" x14ac:dyDescent="0.2">
      <c r="A30" s="17" t="s">
        <v>174</v>
      </c>
      <c r="B30" s="17" t="s">
        <v>175</v>
      </c>
    </row>
    <row r="31" spans="1:2" x14ac:dyDescent="0.2">
      <c r="A31" s="17" t="s">
        <v>176</v>
      </c>
      <c r="B31" s="17" t="s">
        <v>177</v>
      </c>
    </row>
    <row r="32" spans="1:2" x14ac:dyDescent="0.2">
      <c r="A32" s="17" t="s">
        <v>178</v>
      </c>
      <c r="B32" s="17" t="s">
        <v>179</v>
      </c>
    </row>
    <row r="33" spans="1:2" x14ac:dyDescent="0.2">
      <c r="A33" s="17" t="s">
        <v>180</v>
      </c>
      <c r="B33" s="17" t="s">
        <v>181</v>
      </c>
    </row>
    <row r="34" spans="1:2" x14ac:dyDescent="0.2">
      <c r="A34" s="17" t="s">
        <v>182</v>
      </c>
      <c r="B34" s="17" t="s">
        <v>183</v>
      </c>
    </row>
    <row r="35" spans="1:2" x14ac:dyDescent="0.2">
      <c r="A35" s="17" t="s">
        <v>184</v>
      </c>
      <c r="B35" s="17" t="s">
        <v>185</v>
      </c>
    </row>
    <row r="36" spans="1:2" x14ac:dyDescent="0.2">
      <c r="A36" s="17" t="s">
        <v>186</v>
      </c>
      <c r="B36" s="17" t="s">
        <v>187</v>
      </c>
    </row>
    <row r="37" spans="1:2" x14ac:dyDescent="0.2">
      <c r="A37" s="17" t="s">
        <v>188</v>
      </c>
      <c r="B37" s="17" t="s">
        <v>189</v>
      </c>
    </row>
    <row r="38" spans="1:2" x14ac:dyDescent="0.2">
      <c r="A38" s="17" t="s">
        <v>190</v>
      </c>
      <c r="B38" s="17" t="s">
        <v>191</v>
      </c>
    </row>
    <row r="39" spans="1:2" x14ac:dyDescent="0.2">
      <c r="A39" s="17" t="s">
        <v>192</v>
      </c>
      <c r="B39" s="17" t="s">
        <v>193</v>
      </c>
    </row>
    <row r="40" spans="1:2" x14ac:dyDescent="0.2">
      <c r="A40" s="17" t="s">
        <v>194</v>
      </c>
      <c r="B40" s="17" t="s">
        <v>195</v>
      </c>
    </row>
    <row r="41" spans="1:2" x14ac:dyDescent="0.2">
      <c r="A41" s="17" t="s">
        <v>196</v>
      </c>
      <c r="B41" s="17" t="s">
        <v>197</v>
      </c>
    </row>
    <row r="42" spans="1:2" x14ac:dyDescent="0.2">
      <c r="A42" s="17" t="s">
        <v>198</v>
      </c>
      <c r="B42" s="17" t="s">
        <v>199</v>
      </c>
    </row>
    <row r="43" spans="1:2" x14ac:dyDescent="0.2">
      <c r="A43" s="17" t="s">
        <v>200</v>
      </c>
      <c r="B43" s="17" t="s">
        <v>201</v>
      </c>
    </row>
    <row r="44" spans="1:2" x14ac:dyDescent="0.2">
      <c r="A44" s="17" t="s">
        <v>202</v>
      </c>
      <c r="B44" s="17" t="s">
        <v>203</v>
      </c>
    </row>
    <row r="45" spans="1:2" x14ac:dyDescent="0.2">
      <c r="A45" s="17" t="s">
        <v>204</v>
      </c>
      <c r="B45" s="17" t="s">
        <v>205</v>
      </c>
    </row>
    <row r="46" spans="1:2" x14ac:dyDescent="0.2">
      <c r="A46" s="17" t="s">
        <v>206</v>
      </c>
      <c r="B46" s="17" t="s">
        <v>207</v>
      </c>
    </row>
    <row r="47" spans="1:2" x14ac:dyDescent="0.2">
      <c r="A47" s="17" t="s">
        <v>208</v>
      </c>
      <c r="B47" s="17" t="s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Gap Register</vt:lpstr>
      <vt:lpstr>Summary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Sharma</cp:lastModifiedBy>
  <dcterms:created xsi:type="dcterms:W3CDTF">2026-05-05T07:28:01Z</dcterms:created>
  <dcterms:modified xsi:type="dcterms:W3CDTF">2026-05-06T09:27:44Z</dcterms:modified>
</cp:coreProperties>
</file>
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bhishek/Developer/crego/crego-internal-docs/product/"/>
    </mc:Choice>
  </mc:AlternateContent>
  <xr:revisionPtr revIDLastSave="0" documentId="13_ncr:1_{00408C5F-DEE2-1C48-8622-00A4D51F2766}" xr6:coauthVersionLast="47" xr6:coauthVersionMax="47" xr10:uidLastSave="{00000000-0000-0000-0000-000000000000}"/>
  <bookViews>
    <workbookView xWindow="0" yWindow="660" windowWidth="30240" windowHeight="17940" tabRatio="500" xr2:uid="{00000000-000D-0000-FFFF-FFFF00000000}"/>
  </bookViews>
  <sheets>
    <sheet name="Gap Analysis" sheetId="1" r:id="rId1"/>
    <sheet name="Summary" sheetId="2" r:id="rId2"/>
  </sheets>
  <definedNames>
    <definedName name="_xlnm._FilterDatabase" localSheetId="0" hidden="1">'Gap Analysis'!$A$4:$G$46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2" l="1"/>
  <c r="B5" i="2"/>
  <c r="B4" i="2"/>
  <c r="B7" i="2" s="1"/>
  <c r="C5" i="2" l="1"/>
  <c r="C6" i="2"/>
  <c r="C4" i="2"/>
</calcChain>
</file>

<file path=xl/sharedStrings.xml><?xml version="1.0" encoding="utf-8"?>
<sst xmlns="http://schemas.openxmlformats.org/spreadsheetml/2006/main" count="296" uniqueCount="206">
  <si>
    <t>Crego LMS - Feature Coverage &amp; Gap Analysis (crego-omni + crego-web)</t>
  </si>
  <si>
    <t>Verified by direct code inspection of crego-omni (Django backend) and crego-web/packages/omni-web (React frontend) on 2026-07-29. Status legend: Built = backend logic + working UI found. Partial = core exists but a named sub-capability, the UI, or the accounting/lifecycle treatment is missing. Not built = no implementation found in either repo. Evidence cites real file paths; verify against the branch you intend to demo.</t>
  </si>
  <si>
    <t>#</t>
  </si>
  <si>
    <t>Requirement</t>
  </si>
  <si>
    <t>Your intuition (col 3)</t>
  </si>
  <si>
    <t>Verified status</t>
  </si>
  <si>
    <t>What exists in crego-omni / crego-web (evidence)</t>
  </si>
  <si>
    <t>Gap / what is missing</t>
  </si>
  <si>
    <t>Verdict vs your intuition</t>
  </si>
  <si>
    <t>Loan booking &amp; disbursal - Term Loan with multi-tranche facility incl. tranche cancellation, Supply Chain Finance / Invoice discounting, Lease financing, limit tracking (Fresh, Renewal, Expiry)</t>
  </si>
  <si>
    <t>Tranche cancellation ?
Lease financing not there</t>
  </si>
  <si>
    <t>Partial</t>
  </si>
  <si>
    <t>TL disbursal: ctm/processors/loan/disbursement.py (DisbursementMixin). Multi-tranche: ctm/processors/loan/tranche_disbursement.py + TxnCode.tranche_disbursement, gated by is_multi_tranche config (UI: modules/transactions/TrancheDisbursement.tsx, useAccountMultiTranche.ts). SCF / invoice discounting: full invoice app (Drawdown, DrawdownItem, Invoice, PurchaseOrder, Vehicle) + ProductType scf_sid/scf_pid/scf_vf/scf_df + addon/templates/scf_*.json (UI: modules/invoice-financing). Limits: addon/models.py Limit (start_date/end_date, LimitType primary/adhoc) + addon/services/limits.py (UI: modules/addons/limits).</t>
  </si>
  <si>
    <t>TL tranche cancellation does NOT exist - tranche_disbursement is absent from TxnCode.reversible_txn_codes() and is processed straight through with no pending state. Only SCF Drawdown has a cancelled status (invoice/services/drawdowns.py DrawdownService.cancel). Lease financing entirely absent - no lease ProductType, model or UI. Limits have no Fresh/Renewal/Expiry lifecycle - only raw start/end dates; a renewal is an ad-hoc date edit, not a tracked event.</t>
  </si>
  <si>
    <t>Confirmed + extra gap (limit lifecycle)</t>
  </si>
  <si>
    <t>Treatment of IMD charges at disbursement; Gross and Net disbursal functionality</t>
  </si>
  <si>
    <t>Yes</t>
  </si>
  <si>
    <t>Upfront-deduction engine: SettlementConstant.deduct_upfront (schedule/constants.py:89) applied in DisbursementMixin._build_ledgers (ctm/processors/loan/disbursement.py:103-188), posting PostingType.deducted vs outstanding per component - fee deducted upfront = net disbursal, fee added to outstanding = gross/financed. UI exposes net_disbursed_amount / net_deduction_amount / net_available_amount / net_payout_amount (modules/accounts/types/index.types.ts:11-14, overview MainDetails.tsx).</t>
  </si>
  <si>
    <t>There is no entity or field literally named IMD anywhere in either repo. Gross vs net is an emergent property of the fee settlement type, not an explicit named toggle on the product/disbursal screen. Workable, but per-client product config must be verified that IMD is modelled as an upfront-deducted charge - it is not a first-class concept.</t>
  </si>
  <si>
    <t>Mostly confirmed - terminology/config gap</t>
  </si>
  <si>
    <t>EMI Presentation and Bounce upload - Auto NACH enablement through PA/PGs</t>
  </si>
  <si>
    <t>NACH presentation: connectors/providers/payment_nach/base.py (BasePaymentNachConnector), transbank_nach/ (TransBankNachConnector), NachPresentationStatus with terminal_failure() = bounce statuses. Batch submit/sync: transfer/tasks.py submit_nach_presentation_batch, sync_nach_presentation_status + transfer/services/payment_batches.py PaymentBatchService. PG side: EasebuzzConnector under ConnectorCategory.PAYMENT_PG. UI: modules/nach (TriggerNachDialog, NachGeneratedPreview, EditPresentationAmountDialog), modules/payments/detail/easebuzz.</t>
  </si>
  <si>
    <t>PAYMENT_PG and PAYMENT_NACH are separate, independently registered connector categories with no code path linking PG onboarding to e-mandate/NACH enablement - 'Auto NACH enablement through PA/PG' as an integrated flow does not exist. No bounce-file upload/ingestion path and no bounce reason-code master; a bounce is only an implicit terminal status returned by the vendor status sync.</t>
  </si>
  <si>
    <t>Worse than assumed</t>
  </si>
  <si>
    <t>EMI Reconciliation and EMI re-presentation process</t>
  </si>
  <si>
    <t>Reconciliation: transfer/tasks.py sync_nach_presentation_status -&gt; PaymentBatchService.execute_batch_status_sync ('Poll the vendor for bulk presentation status and reconcile Payments', transfer/services/payment_batches.py:158). Due listing for re-selection: reports/handlers/system/nach_due_listing_handler.py. UI: modules/nach/list + form/TriggerNachDialog.tsx for manual re-trigger.</t>
  </si>
  <si>
    <t>No first-class re-presentation concept: no presentation-attempt counter, no re-presentation charge, no distinct transaction code. A bounced EMI is simply re-selected from the same generic due listing and pushed through the same trigger dialog used for the first presentation. retry_count in connectors/models.py is an infra submission retry, not business re-presentation tracking.</t>
  </si>
  <si>
    <t>Automated collection process and Collection reconciliation</t>
  </si>
  <si>
    <t>Yes - UI ?</t>
  </si>
  <si>
    <t>collect app: CollectionEnquiry model (call / field visit logging, PTP tracking), CollectionStatus / CollectionType / PTPStatus (collect/constants.py), automated celery tasks expire_open_ptps_task and scan_ptp_reminders (collect/tasks.py), seeded beat schedule (collect/management/commands/seed_collection_beat_schedule.py). Automated collection via NACH batch presentation (transfer/tasks.py). Collection Report exists (SystemReportCode.COLLECTION_REPORT).</t>
  </si>
  <si>
    <t>There is NO frontend for the collect app at all - no agent call/visit logging screen, no PTP management screen. The only frontend reference to collections is a dashboard metric card (modules/dashboard/config/cards/collectionEfficiencyConfig.ts). 'Collection reconciliation' as a named process/report against bank or PG statements does not exist beyond the generic NACH status sync.</t>
  </si>
  <si>
    <t>Your UI doubt confirmed - UI missing</t>
  </si>
  <si>
    <t>Part prepayment and loan prepayment / early foreclosure, Subsidy</t>
  </si>
  <si>
    <t>Subsidy ?</t>
  </si>
  <si>
    <t>Part prepayment: TxnCode.pre_payment_with_tenure_change / pre_payment_with_emi_change + ctm/processors/loan/restructuring/prepayment.py (UI: TERM_LOAN_TRANSACTION_TYPES in modules/transactions/types/index.ts). Foreclosure: TxnCode.foreclose + restructuring/foreclose.py with _preview_foreclose simulation (UI: modules/transactions/Foreclosure.tsx, ForeclosureModal).</t>
  </si>
  <si>
    <t>Subsidy is entirely absent - zero matches for 'subsidy' in either repo. Note the adjacent SubventionType enum does exist (ctm/constants.py: normal_subvention / fixed_percentage / fixed_amount) - that is lender-side interest subvention, not a government/manufacturer customer subsidy with its own receivable, claim tracking and settlement.</t>
  </si>
  <si>
    <t>Your doubt confirmed - subsidy missing</t>
  </si>
  <si>
    <t>Loan revision</t>
  </si>
  <si>
    <t>diff between this and point 10 ?</t>
  </si>
  <si>
    <t>Built (same as #10)</t>
  </si>
  <si>
    <t>There is exactly ONE mechanism in the codebase: the restructuring processors (ctm/processors/loan/restructuring/) with TxnCode tenure_change, emi_change, roi_and_emi_change, roi_and_tenure_change, emi_due_date_change. Searching 'revision' across both repos returns only unrelated approval-workflow comments.</t>
  </si>
  <si>
    <t>ANSWER TO YOUR QUESTION: there is no difference - the product does not distinguish 'revision' from 'restructuring'; both map to the same transactions and both regenerate the RPS. If the client means a lighter, non-schedule-impacting term amendment (change a term without regenerating the repayment schedule), that does NOT exist and would need building. Clarify the client's definition before committing.</t>
  </si>
  <si>
    <t>Needs clarification with client</t>
  </si>
  <si>
    <t>Write off and write off recovery</t>
  </si>
  <si>
    <t>Write off recovery ?</t>
  </si>
  <si>
    <t>Write-off: ctm/processors/loan/written_off.py (WriteOffMixin._process_write_off) zeroes outstanding via PostingType.write_off ledgers and sets AccountStatus.written_off (UI: modules/transactions/WriteOff.tsx). Recovery is technically possible: AccountStatus.repayment_allowed_statuses() (product/constants.py:130-131) includes written_off, so a standard REPAYMENT can still be booked and the UI does not filter it out.</t>
  </si>
  <si>
    <t>No dedicated write-off recovery transaction code, no recovery-income GL account, no recovery-specific reporting. Recovery collections reuse the generic REPAYMENT / excess-payment flow, so the accounting treatment (crediting recovery to income vs reversing the loss GL) is not modelled and recoveries cannot be reported separately from normal collections.</t>
  </si>
  <si>
    <t>Your doubt confirmed - recovery not modelled</t>
  </si>
  <si>
    <t>Settlement</t>
  </si>
  <si>
    <t>Built</t>
  </si>
  <si>
    <t>ctm/processors/loan/settlement.py (SettlementHandler / SettlementMixin) - component-wise settlement amounts, service-fee-to-collect/pay, maturity check, excess adjustment via _settle_excess_from_excess_demand. TxnCode.settlement, AccountStatus.settled_off. UI: modules/transactions/SettleOff.tsx + SettleOffModal/SettleOffAmountInputs.tsx.</t>
  </si>
  <si>
    <t>No material gap found.</t>
  </si>
  <si>
    <t>Confirmed</t>
  </si>
  <si>
    <t>Loan restructuring / re-schedulement (Due Date change, ROI change, Tenure change, RPS regeneration)</t>
  </si>
  <si>
    <t>Processors in ctm/processors/loan/restructuring/: emi_due_date_change.py, roi_and_emi_change.py, roi_and_tenure_change.py, tenure_change.py, emi_change.py, prepayment.py, pre_emi_change.py, foreclose.py. RPS regeneration via BaseRestructuringMixin._delete_future_schedules + _save_result_to_database (restructuring/base.py:299-518) which bulk-recreates Schedule and Demand rows. All five codes surfaced in UI (modules/transactions/types/index.ts + TransactionFormDialog.tsx).</t>
  </si>
  <si>
    <t>Minor: there is no standalone ROI-only change (rate change absorbed into a balloon/last instalment) - only roi_and_emi_change and roi_and_tenure_change. Confirm whether any client needs ROI-only.</t>
  </si>
  <si>
    <t>ADHOC Charge creation (receivables and payables)</t>
  </si>
  <si>
    <t>ctm/processors/common/add_fees.py (AddFeesMixin) supports ad-hoc fees against contact, program, account (loan) and group_account (ADD_FEE_TYPE_TO_ENTITY, lines 27-32). TxnCode.add_fee / settle_fee. Direction driven by Demand.type = DemandType.payable / receivable (schedule/models.py:76-77, schedule/constants.py:107-109). UI: modules/transactions/AddFee/AddFeeModal.tsx, modules/demands/components/GlobalAddFee.tsx, modules/demands/fees/controls.tsx.</t>
  </si>
  <si>
    <t>Payable vs receivable is inherited from the component master rather than being a selectable field on the ad-hoc charge form. Compounding this, Component.component_type (receivable/payable/income/expense) is explicitly marked DEPRECATED / 'No longer used in current implementation' in ctm/workbook_handlers/component_handler.py - so the payable side of the charge master is effectively dormant (see #33).</t>
  </si>
  <si>
    <t>Confirmed with caveat on payables</t>
  </si>
  <si>
    <t>Loan waiver / Charges waiver (at disbursal and at repayment), Interest waiver, Penalty waiver</t>
  </si>
  <si>
    <t>ctm/processors/loan/waiver.py (WaiverHandler, WaiverMixin._process_waiver) - component-wise waiver of outstanding plus tax, driving PostingType.waived / tax_waived. Invoked standalone via TxnCode.waiver AND inside settlement (ctm/processors/loan/settlement.py), i.e. at repayment/settlement time. Charge waiver rides the fee codes (add_fee / settle_fee). UI: modules/transactions/WaiverModal/, Waiver.tsx, useWaiverForm.ts, modules/accounts/schema/waiver.schema.ts wired to transaction.api.ts.</t>
  </si>
  <si>
    <t>No distinct 'waiver at disbursal' flow - a disbursal-time fee waiver is indistinguishable from generic fee settlement. Interest and penalty waivers use the same generic component waiver with no separate penal-interest control. Also note modules/loans/LoanDetails/tabs/WaiversTab.tsx is a legacy mock with hardcoded data - do not demo it.</t>
  </si>
  <si>
    <t>Treatment of advances, Adjustment of advances at foreclosure</t>
  </si>
  <si>
    <t>ctm/processors/loan/excess_payment_settlement.py (ExcessPaymentSettlementMixin), ctm/processors/contact/excess_payment_refund.py, SettlementHandler._settle_excess_from_excess_demand, ctm/helpers.py, reports/handlers/system/excess_payment_handler.py, transfer/management/commands/fix_missing_excess_settlements.py. Foreclosure (restructuring/foreclose.py) includes excess in the payoff calculation. UI: modules/accounts/config/excessBalanceColumns.tsx, dashboard excessPaymentsConfig.ts, SettleOffModal, payments ProcessFormSchema.ts.</t>
  </si>
  <si>
    <t>EMI Waiver (waiving a whole instalment)</t>
  </si>
  <si>
    <t>?</t>
  </si>
  <si>
    <t>No EMI-level waiver transaction code exists - the full TxnCode enum (ctm/constants.py) has waiver and settle_fee but nothing instalment-level. WaiverHandler._waive_demands operates per component, not per instalment. UI: modules/transactions/WaiverModal/OutstandingScheduleTable.tsx lists schedules with per-component amount columns for manual entry.</t>
  </si>
  <si>
    <t>Waiving a whole EMI is only achievable by manually keying a waiver amount into every component of that schedule row. No one-click 'waive this instalment' action, no instalment-waiver transaction code, and therefore no clean audit trail or reporting on EMI waivers as a category.</t>
  </si>
  <si>
    <t>Your doubt confirmed - manual workaround only</t>
  </si>
  <si>
    <t>NPA Settlement</t>
  </si>
  <si>
    <t>Generic settlement path exists (SettlementHandler, AccountStatus.settled_off, _check_maturity_date) and write-off exists (written_off.py). Asset classification RBIAssetCategory STD/SMA0/SMA1/SMA2/NPA (ctm/constants.py) plus ctm/processors/loan/npa_income_suspension.py for EOD income suspension. UI: SettleOffModal, WriteOffModal.</t>
  </si>
  <si>
    <t>No NPA-aware One-Time-Settlement (OTS) workflow. Settlement is generic and not tied to asset classification - no OTS proposal/approval chain, no haircut tracking, no separate GL treatment for an NPA settlement vs a normal settlement, no OTS reporting.</t>
  </si>
  <si>
    <t>Payment refunds</t>
  </si>
  <si>
    <t>TxnCode.excess_payment_refund + ctm/processors/contact/excess_payment_refund.py (ExcessPaymentRefundMixin, _refund_excess_from_excess_demand); ctm/processors/loan/upfront_interest_refund.py; Payment.refund_amount field (transfer/migrations/0013_...); transfer/services/payments.py refund(); PostingType.refunded. UI: modules/payments/form/schemas/refundPaymentSchema.ts + PaymentActionDialog.tsx (useRefundPayment).</t>
  </si>
  <si>
    <t>Backend and live UI are complete. Housekeeping only: a legacy mock modules/loans/LoanDetails/tabs/RefundsTab.tsx with hardcoded data duplicates this and should be removed.</t>
  </si>
  <si>
    <t>Collateral tracking and collateral linking / delinking</t>
  </si>
  <si>
    <t>Not built</t>
  </si>
  <si>
    <t>Nothing in the backend. Grep for collateral / security / pledge / hypothecation / mortgage across crego-omni returns zero model hits (the only match is a field name inside reports/handlers/system/consumer_cic_report.py). The nearest real asset record is invoice/models.py Vehicle for SCF vehicle finance, which carries vehicle and insurance metadata but is not a general collateral register.</t>
  </si>
  <si>
    <t>Feature is entirely absent. WARNING: crego-web/packages/omni-web/src/modules/loans/LoanDetails/tabs/CollatoralTab.tsx renders a Collateral tab from a HARDCODED collateralData array on the routed /loans/:loanId page - it looks working but is mock. Do not demo it. Building this needs a collateral model, valuation, link/delink to loans, and charge-creation hooks (which also unblocks CERSAI in #18).</t>
  </si>
  <si>
    <t>Your doubt confirmed - missing, and mock UI is a demo risk</t>
  </si>
  <si>
    <t>Regulatory reporting (CIBIL, CERSAI, NeSL, CKYC)</t>
  </si>
  <si>
    <t>Cersai, Nesl, ckyc ?</t>
  </si>
  <si>
    <t>CIBIL/CIC only: reports/handlers/system/consumer_cic_report.py (SystemReportCode.CONSUMER_CIC) and commercial_cic_report.py (COMMERCIAL_CIC) generate bureau-format bulk files, surfaced through modules/reports.</t>
  </si>
  <si>
    <t>CERSAI (security-interest / charge registration), NeSL (default and financial information reporting) and CKYC (upload / download / KYC record fetch) are all absent - no connector providers under connectors/providers/ and no report handlers. Also note CIC is file EXPORT only: there is no submission or response/error-file ingestion loop back into the system. CERSAI additionally depends on the missing collateral module (#17).</t>
  </si>
  <si>
    <t>Your doubt confirmed - only CIBIL exists</t>
  </si>
  <si>
    <t>Reports (available and customizable)</t>
  </si>
  <si>
    <t>25 system reports in reports/constants.py SystemReportCode (Customer Portfolio, Upcoming Due, Interest Computation, Repayment Advice, Disbursement Advice + PDF + Secondary, Interest Certificate, NACH Due Listing, SOA, GL Trial Balance, GL Report, Program Portfolio, Daily POS, Excess Payment, Charge Summary, Upfront Interest, Contact, Disbursement, Collection, Audit Log, Consumer CIC, Commercial CIC, Outstanding, Demand and Settlement, Limit, Loan Account). ReportType.custom for user-defined reports; formats csv/pdf/xlsx/json; sync and async execution. UI: modules/reports with SqlEditor.tsx (SQL report builder), DraggableColumnList.tsx (column customisation), SystemReportFormDialog, generated-reports.</t>
  </si>
  <si>
    <t>Strong. Specific missing reports are tracked separately: GSTR1 (#29), NOC/NDC and letters (#22), dealer-wise portfolio (#26), provisioning (#28), write-off recovery (#8).</t>
  </si>
  <si>
    <t>End of Day / Beginning of Day process</t>
  </si>
  <si>
    <t>product/handlers/eod.py - EODHandler, EODTask, EODOrSODAccrualType (supports both EOD and SOD/BOD accrual modes), ordered task pipeline, Redis-debounced aggregate summary rebuild for contact/program/product/group accounts. Supporting accruals: ctm/processors/loan/accrual.py, due_date_tl_accrual.py, month_end_tl_accrual.py, npa_income_suspension.py. UI: modules/accounts/detail/tabs/eod-history/.</t>
  </si>
  <si>
    <t>Month end closure process</t>
  </si>
  <si>
    <t>Loan-level: ctm/processors/loan/month_end_tl_accrual.py (TxnCode.month_end_tl_accrual). GL-level: gl/services.py FinancialPeriodService.close_period / lock_period, gl/constants.py FinancialPeriodStatus (open/closed/locked), async close_period celery task with row locking (gl/tasks.py), gl/views.py close_period action. UI: modules/addons/gl-config/financial-periods/ (table, form, useUpdateFinancialPeriod / useCreateFinancialPeriod).</t>
  </si>
  <si>
    <t>Statement generation - SOA (loan-wise and consolidated/bulk), interest certificate, NOC/NDC, loan closure letter, welcome letter, repayment schedule, foreclosure simulation and statement</t>
  </si>
  <si>
    <t>Only SIX report templates exist in reports/templates/: base_report.html, disbursement_advice.html, interest_certificate_scf.html, interest_certificate_tl.html, soa.html, soa_group.html. SOA loan-wise AND group/consolidated via reports/handlers/system/soa_handler.py. Interest certificate (TL + SCF) via interest_certificate_handler.py. Repayment schedule via the schedule app / demand preview. Foreclosure simulation via restructuring/foreclose.py _preview_foreclose. UI: modules/reports/components/AccountReportsSection.tsx per-account buttons, modules/transactions/ForeclosureModal (preview).</t>
  </si>
  <si>
    <t>NOC/NDC, loan closure letter and welcome letter DO NOT EXIST - no templates, no handlers, zero grep hits in either repo. Foreclosure is an in-app preview only, with no generated foreclosure-statement PDF to hand the customer. No bulk/mass statement generation across many customers - SOA is single-account or single-group only.</t>
  </si>
  <si>
    <t>Worse than assumed - 3 letters missing</t>
  </si>
  <si>
    <t>Bulk transactions (Collection, disbursal, loan creation, waiver, etc.)</t>
  </si>
  <si>
    <t>Generic workbook engine (apps/workbook) plus handlers: product/workbook_handlers/loan_bulk_handlers.py (BulkLoanRequestSCFHandler, BulkLoanTLHandler, BulkLoanWithRPSHandler, BulkLoanWithRPSActiveHandler), transfer/workbook_handlers/payment_handler.py (BulkRepaymentHandler = bulk collection), payout_processing_handler.py (BulkPayoutProcessingHandler = bulk disbursal), plus gl_bulk_handler, glaccount_handler, contact_bulk_handler, invoice_handler, drawdown_handler, vehicle_handler, nach_mandate_handler, fee_import_handler. UI: modules/addons/bulkOperations (import/export dialogs), modules/client-utils/components/excelProcessor/HistoryTable.tsx, components/common/BulkActionDialog.tsx.</t>
  </si>
  <si>
    <t>No dedicated bulk-waiver handler - waiver is single-transaction only (ties to #14). Everything else in the list is covered.</t>
  </si>
  <si>
    <t>Confirmed except bulk waiver</t>
  </si>
  <si>
    <t>Transaction undo functionality (loan creation, loan disbursal, repayment)</t>
  </si>
  <si>
    <t>Transaction level: TxnCode.reversible_txn_codes() = waiver, accrual, repayment, excess_payment_settlement; ctm/services/transactions.py reverse() and ctm/views.py reverse action. Account level: product/services/accounts.py reverse() + AccountStatus.reverted (undo loan creation / disbursal). Payment/payout level: transfer/services/payments.py reverse(), payouts.py reverse(), views reverse_payment / reverse_payout. GL level: gl/services.py reverse(voucher_id) and reverse_gl_posting(), gl/views.py reverse_voucher. UI: modules/transactions/list/TransactionsTableWithActions.tsx, TransactionActionDialog.tsx.</t>
  </si>
  <si>
    <t>Disbursement itself is NOT in reversible_txn_codes() - undoing a disbursal goes through account-level reversal (status -&gt; reverted), which is coarser than a per-transaction reversal and cannot undo one tranche out of several. Ties to the tranche-cancellation gap in #1.</t>
  </si>
  <si>
    <t>Confirmed with caveat on disbursal</t>
  </si>
  <si>
    <t>Asset upgradation / degradation functionality</t>
  </si>
  <si>
    <t>Functionality ?</t>
  </si>
  <si>
    <t>ctm/constants.py RBIAssetCategory (STD/SMA0/SMA1/SMA2/NPA). ctm/helpers.py get_asset_classification() / get_asset_classification_band() derive the bucket from DPD using configurable dpd.npa_dpd_threshold. Automatic degradation side effect: ctm/processors/loan/npa_income_suspension.py runs in EOD; AccountPropsChoice.npa_marked_date and income_suspended are stamped. Tests: ctm/tests/test_asset_classification.py. UI config: modules/addons/configuration/sections/DpdSection.tsx.</t>
  </si>
  <si>
    <t>Classification is COMPUTED on the fly from DPD - it is a derived attribute, not a managed lifecycle. No manual override or maker-checker, no RBI upgrade rule (NPA upgrades only when ALL arrears are cleared, not just when DPD drops), no reversal of income suspension on upgrade, no classification-change history / audit trail, no movement report.</t>
  </si>
  <si>
    <t>Your doubt confirmed - derived attribute, not a workflow</t>
  </si>
  <si>
    <t>EPC and Dealer wise mapping and Tracking, Dashboard</t>
  </si>
  <si>
    <t>SCF program should be able to handle this</t>
  </si>
  <si>
    <t>ProgramPartnerType.dealer (product/constants.py); product/scf_matrix.py ties dealers into SCF-DF disbursement and counterparty mapping. UI: modules/programs/detail/partners.tsx with dealer role, ProgramPartnerTypes.DEALER in programs/types.ts. Dashboards: product/services/dashboard.py (overdue programs, overdue borrowers, collection efficiency).</t>
  </si>
  <si>
    <t>'EPC' does not exist as an entity anywhere in either repo. Dealer exists only as a program partner ROLE - there is no dealer-wise portfolio, exposure, limit-utilisation or collection dashboard; all existing dashboards are program / borrower / loan level, never dealer-segmented. Your instinct is right that the SCF program structure is the correct home for it, but the tracking and dashboard layer still has to be built.</t>
  </si>
  <si>
    <t>Directionally right - tracking/dashboard still to build</t>
  </si>
  <si>
    <t>TDS calculation / Refund functionality</t>
  </si>
  <si>
    <t>Refund ?</t>
  </si>
  <si>
    <t>Calculation: ComponentCode.tds and PostingType.tds_deducted (ctm/constants.py); transfer/services/payments.py tds_amount and total_tds_deducted aggregation (~lines 783-883, 1094-1327); ctm/processors/loan/repayment.py:572 _get_tds_deducted_ledgers() posts the deduction on repayment/disbursement.</t>
  </si>
  <si>
    <t>No TDS refund transaction, service or UI - Payment.refund() (transfer/services/payments.py:1515) is a generic excess-payment refund, not TDS-specific. Also missing: Form 16A / TDS certificate capture and reconciliation against 26AS, and any TDS-specific screen (tds_amount currently rides generic payment forms).</t>
  </si>
  <si>
    <t>Your doubt confirmed - refund missing</t>
  </si>
  <si>
    <t>SMA and Asset classification, provisioning</t>
  </si>
  <si>
    <t>Asset classification and SMA bucketing exist as described in #25 (RBIAssetCategory, get_asset_classification_band, DPD config in DpdSection.tsx).</t>
  </si>
  <si>
    <t>PROVISIONING IS NOT IMPLEMENTED. No provisioning-percentage-by-bucket configuration exists in addon/templates/*.json or addon/schemas/*.json (the dpd block only carries npa_days and npa_dpd_threshold), and there are no provisioning GL postings anywhere in the gl app - gl/README.md merely lists 'provisions' as an example of a non-transaction entry. This is a material RBI-compliance gap for any NBFC client and should be prioritised.</t>
  </si>
  <si>
    <t>WORSE than assumed - flag as priority</t>
  </si>
  <si>
    <t>GSTR1 report - Finance requirement</t>
  </si>
  <si>
    <t>No</t>
  </si>
  <si>
    <t>Confirmed absent. Zero matches for GSTR / gstr1 / gst_report across the backend; reports/constants.py SystemReportCode contains no GST output report. GST appears only as tenant settings (modules/settings GstSettingsForm.tsx), contact GSTIN capture (contact/gst_parser.py) and fee tax components (PostingType.tax / tax_paid / tax_waived).</t>
  </si>
  <si>
    <t>Confirmed missing. Mitigating factor: the underlying data already exists (tax ledgers per fee component, GSTIN on contact, invoice-level data), so a GSTR1 extract is buildable on top of the existing report framework rather than requiring new data capture.</t>
  </si>
  <si>
    <t>Repayment allocation across SCF Tranches</t>
  </si>
  <si>
    <t>invoice/services/drawdowns.py - full Drawdown / DrawdownItem lifecycle (create, approve, reject, cancel) against invoice/models.py; ctm/processors/loan/tranche_disbursement.py for TxnCode.tranche_disbursement; allocation via RepaymentHandler.parse_settlement_order (ctm/processors/loan/repayment.py) consumed by transfer/workbook_handlers/payment_handler.py; invoice/status_config.py. UI: modules/invoice-financing/drawdowns (list, detail, drawdownItems) and modules/transactions/TrancheDisbursement.tsx.</t>
  </si>
  <si>
    <t>Allocation runs through the generic settlement-order / demand engine rather than a tranche-specific allocator. Confirm against client expectation whether they need FIFO across tranches, oldest-overdue-first, or targeted allocation to a nominated tranche - the current behaviour is settlement-order driven.</t>
  </si>
  <si>
    <t>Confirmed - verify allocation rule with client</t>
  </si>
  <si>
    <t>Co-lending (Disbursal and Repayment)</t>
  </si>
  <si>
    <t>ComponentCategory.colending_fee; ctm/handlers/split_ledgers.py SplitLedgersHandler.split_ledgers_for_shared_account performs percentage-share splitting of ledgers and demands between shared-account partners on both disbursement and repayment; ProgramPartnerType.co_lender. UI: modules/addons/configuration/sections/ColendingSection/ (index, BasicSplit, WeightedSplit, utils) covering Blended / Co-Lender-Centric / Lender-Centric models, repayment shares, schedule calculation method, shared payout toggle and per-component lender/co-lender split; modules/transaction-summary/components/ColendingFilter.tsx.</t>
  </si>
  <si>
    <t>No material gap found - this is one of the most complete areas of the platform (config + processing + reporting filter).</t>
  </si>
  <si>
    <t>Lease operations - lease billing and tracking, rule-based / tariff-rate calculation, buy-back, lock-in, transfer</t>
  </si>
  <si>
    <t>Confirmed absent. product/constants.py ProductType contains only term_loan, scf_sid, scf_pid, scf_vf, scf_df. Greps for lease / tariff / buy-back / buyback / lock-in across both repos return only false positives on the word 'release'.</t>
  </si>
  <si>
    <t>Fully missing end to end: no lease product type, no lease billing or tracking, no tariff/rule-based rate engine, no buy-back, lock-in or transfer handling, no residual-value or depreciation logic. This is a new product line, not a feature - size it as such. Ties directly to the lease gap in #1.</t>
  </si>
  <si>
    <t>LMS Masters - Chart of Accounts, Product Master, User Master, Bank Master, Bounce Master, Asset classification / SMA configuration, Rule engine, Charge Master (receivables and payables)</t>
  </si>
  <si>
    <t>BUILT - Chart of Accounts: gl/models.py GLAccount (hierarchical, parent/child, account_type, balances); UI modules/addons/gl-config/gl-accounts (form + hierarchy-view). Note the dedicated coa app is a 0-byte stub; COA actually lives in gl.
BUILT - Product Master: product/models.py Product / Program / Account; UI modules/products, modules/programs.
BUILT - User Master: authz/models.py User plus roles, groups, departments; UI modules/settings/users, roles, departments, groups.
BUILT - Asset classification / SMA config: ctm/helpers.py bands driven by dpd config; UI DpdSection.tsx.
BUILT - Charge Master (receivables): ctm/models.py Component + ComponentCategory (charge, fee, overdue, margin); UI modules/addons/gl-config/gl-components.
PARTIAL - Rule engine: apps/workflow is a graph-based JSONLogic orchestration engine (processor/executor.py, processor/utils/jsonlogic.py) plus JSONLogic notification event rules; UI modules/workflows + shared/components/FlowEditor.</t>
  </si>
  <si>
    <t>THREE MASTERS MISSING:
(a) Bank Master - no Bank / BankMaster model or IFSC lookup table anywhere. contact/models.py ContactBank stores free-text bank_name / branch_name / ifsc per contact, regex-validated only, with no master to validate against. No frontend screen.
(b) Bounce Master - no bounce reason-code model. Only a seeded 'Bounce Charge' fee component (ctm/workbook_handlers/component_handler.py) plus vendor status enums. No reason-code driven charging, retry or reporting.
(c) Charge Master (payables) - Component.component_type (receivable/payable/income/expense) is explicitly documented as DEPRECATED / 'No longer used in current implementation'; every seeded component is receivable or income. The payable-side charge master is dormant.
Also: the rule engine is an integration/notification orchestrator, not a business rule engine for eligibility, pricing or collection strategy.</t>
  </si>
  <si>
    <t>Worse than assumed - 3 masters missing</t>
  </si>
  <si>
    <t>Insurance module - disbursement, premium handling, policy master</t>
  </si>
  <si>
    <t>No - building for Adani</t>
  </si>
  <si>
    <t>The only insurance data anywhere is vehicle-collateral metadata on invoice/models.py Vehicle (insurance_company, insurance_policy_number, insurance_upto, lines 456-459), parsed by invoice/vehicle_parser.py and displayed in modules/invoice-financing/vehicles/form/VehicleDetailsPreview.tsx.</t>
  </si>
  <si>
    <t>No policy master, no premium calculation or collection, no premium financing / disbursement, no insurer integration, no claim handling. IMPORTANT: searched all three repos for 'Adani' - the only open branch is feature/cre-5823-generate-a-limit-report-for-adani-... which is a limit report, NOT insurance. So there is no insurance code in flight; confirm with the team whether the Adani insurance work is still spec-only.</t>
  </si>
  <si>
    <t>Confirmed - and no Adani code in flight yet</t>
  </si>
  <si>
    <t>Customer billing and Invoicing - Finance Module</t>
  </si>
  <si>
    <t>Confirmed absent. The invoice app is explicitly 'Invoice &amp; PO Financing' per invoice/README.md - i.e. discounting third-party receivables, not lender-issued billing to customers. No 'billing' keyword anywhere in the backend; modules/invoice-financing mirrors the same discounting use case.</t>
  </si>
  <si>
    <t>Confirmed missing. Adjacent building blocks do exist (fee/charge components, tax posting types, GSTIN on contact) but there is no customer invoice document, invoice numbering series, GST tax invoice, or receivable ledger against the customer for fees billed by the lender. Overlaps heavily with GSTR1 (#29) - worth scoping the two together.</t>
  </si>
  <si>
    <t>Confirmed - scope with #29</t>
  </si>
  <si>
    <t>Scheduler / Cron Jobs</t>
  </si>
  <si>
    <t>django_celery_beat with DatabaseScheduler (settings/celery.py:122). apps/tasks provides PeriodicTaskSerializer plus management commands register_tasks.py and fix_crontab_timezones.py; collect/management/commands/seed_collection_beat_schedule.py seeds PeriodicTask / CrontabSchedule; apps/schedule handles business-date and EOD scheduling. UI: modules/settings/tasks and modules/tasks/schedules for periodic task listing and management.</t>
  </si>
  <si>
    <t>CRM Module</t>
  </si>
  <si>
    <t>Confirmed absent across crego-omni, crego-web and crego-flow - no lead pipeline, opportunity tracking or interaction log. The contact app stores KYC, bank and contact-detail records for borrowers only.</t>
  </si>
  <si>
    <t>Confirmed missing. Closest existing asset: the collect app's CollectionEnquiry (call / field-visit / PTP activity logging) is CRM-shaped and could be generalised - but it has no UI today (see #5), so any CRM work would start by building that frontend.</t>
  </si>
  <si>
    <t>Loan Communication modules, Automated trigger functionality, Receipt generation</t>
  </si>
  <si>
    <t>Communication and triggers are strong: apps/notifications with EventMaster, JSONLogic condition-based rules, multi-channel delivery (email / SMS / push / inbox), providers, signals, templates, firebase config, scope config. UI: modules/notifications and modules/notification-manager.</t>
  </si>
  <si>
    <t>RECEIPT GENERATION IS MISSING. There is no receipt template in reports/templates (only 6 templates exist) and none in the docs app; the word 'receipt' in the backend appears only in prose comments in soa_handler.py and collection_report_handler.py describing payment rows. The 'Receipt' matches in the frontend (payments/list/table.tsx, loans OverviewTab/ActionsAndReports.tsx) are lucide-react ICON names, not a feature. Customers currently get an SOA instead of a payment receipt.</t>
  </si>
  <si>
    <t>Partly worse - receipts missing</t>
  </si>
  <si>
    <t>Mandate registration / cancellation, NACH swapping, NACH curing</t>
  </si>
  <si>
    <t>Registration: product/workbook_handlers/nach_mandate_handler.py performs bulk mandate registration, storing UMRN and status on Account.refs['nach']. NachMandateStatus (connectors/providers/payment_nach/transbank_nach/constants.py:73-77) has ACTIVE / INACTIVE. Presentation: connectors/models.py TransBankNachPresentation. UI: modules/nach (list, TriggerNachDialog, EditPresentationAmountDialog).</t>
  </si>
  <si>
    <t>NACH swapping (moving the mandate to a different bank account / mandate) and NACH curing (re-registering after a mandate failure) do not exist - zero grep hits for swap or cure in NACH code. Mandate cancellation is only an INACTIVE flag, with no vendor-side cancellation call or cancellation workflow. Mandate registration is bulk-upload only; there is no single-mandate registration screen.</t>
  </si>
  <si>
    <t>Cashback handling</t>
  </si>
  <si>
    <t>ctm/helpers.py is_cashback_enabled / stamp_excess_available driven by the product config flag common_settings.get_cashback_on_repayment; ctm/processors/loan/repayment.py:851-916 _check_for_upfront_interest_cashback computes the cashback amount, updates the demand excess / hold and writes a Ledger entry; addon/templates/scf_vf.json:110 sets get_cashback_on_repayment true.</t>
  </si>
  <si>
    <t>Scoped narrowly to releasing unearned upfront interest on early closure - not a general cashback / incentive engine (no campaign definition, eligibility rules, or cashback types). The implementation still carries '# TODO: Implement cashback on repayment' at repayment.py:863, and there is no UI and no cashback reporting.</t>
  </si>
  <si>
    <t>Worse than assumed - narrow scope + TODO</t>
  </si>
  <si>
    <t>PDC Management - PDC update, entry, assignment, re-assignment, vaulting</t>
  </si>
  <si>
    <t>Confirmed absent across crego-omni, crego-web and crego-flow. All 'cheque' hits are either a payment-mode label (disbursement_report_handler.py, collection_report_handler.py), a CIC report segment ('Cheque Dishonour Segment' in commercial_cic_report.py), or the Bounce Charge component description. All 'vault' hits are generic document-storage copy in modules/docs.</t>
  </si>
  <si>
    <t>Confirmed missing end to end - no PDC entry, update, assignment / re-assignment, physical custody or vaulting, no PDC presentation cycle. Note it would depend on the missing bounce master (#33) for dishonour reason codes.</t>
  </si>
  <si>
    <t>Loan Moratorium</t>
  </si>
  <si>
    <t>BETTER THAN YOU ASSUMED - a partial building block exists. Pre-EMI (interest-only) periods are supported: ScheduleTags.pre_emi (schedule/constants.py:152), schedule config pre_emi_count threaded through schedule/controllers.py, schedule/demand_expressions.py, product/workbook_handlers/config_builder.py and loan_bulk_handlers.py, plus transaction codes TxnCode.add_pre_emi / skip_pre_emi with processor ctm/processors/loan/restructuring/pre_emi_change.py.</t>
  </si>
  <si>
    <t>What exists is an origination-time PRINCIPAL moratorium (interest-only period), adjustable mid-life via ADD_PRE_EMI / SKIP_PRE_EMI. What does NOT exist: a full mid-life moratorium / payment holiday (no interest collected either), moratorium interest accrual with capitalisation into principal, moratorium period tracking as a distinct state, and regulatory moratorium reporting. Zero grep hits for moratorium / payment holiday / capitalisation.</t>
  </si>
  <si>
    <t>BETTER than assumed - pre-EMI is a usable base</t>
  </si>
  <si>
    <t>Coverage Summary</t>
  </si>
  <si>
    <t>Status</t>
  </si>
  <si>
    <t>Count</t>
  </si>
  <si>
    <t>% of 42</t>
  </si>
  <si>
    <t>Total</t>
  </si>
  <si>
    <t>Where your intuition was off</t>
  </si>
  <si>
    <t>Worse than you assumed - you marked these 'Yes'</t>
  </si>
  <si>
    <t>#28 Provisioning</t>
  </si>
  <si>
    <t>Asset classification exists but loan-loss provisioning (% by bucket + provisioning GL entries) is not implemented at all. Material RBI-compliance gap.</t>
  </si>
  <si>
    <t>#22 Statements</t>
  </si>
  <si>
    <t>NOC/NDC, loan closure letter and welcome letter templates do not exist. Only 6 report templates ship. No bulk statement generation.</t>
  </si>
  <si>
    <t>#33 Masters</t>
  </si>
  <si>
    <t>Bank Master and Bounce Master do not exist; the payables side of the Charge Master is explicitly deprecated in code.</t>
  </si>
  <si>
    <t>#39 NACH</t>
  </si>
  <si>
    <t>NACH swapping and NACH curing do not exist. Cancellation is only an INACTIVE flag, not a vendor-side workflow.</t>
  </si>
  <si>
    <t>#3 / #4 EMI presentation</t>
  </si>
  <si>
    <t>No PG-to-NACH auto-enablement link, no bounce-file upload, no bounce reason master, and no true re-presentation tracking.</t>
  </si>
  <si>
    <t>#15 NPA settlement</t>
  </si>
  <si>
    <t>Settlement is generic and not NPA-aware. No OTS proposal/approval, haircut tracking or distinct GL treatment.</t>
  </si>
  <si>
    <t>#38 Receipts</t>
  </si>
  <si>
    <t>Communication/trigger engine is strong, but payment receipt generation does not exist - SOA is the only substitute.</t>
  </si>
  <si>
    <t>#40 Cashback</t>
  </si>
  <si>
    <t>Only releases unearned upfront interest on early closure, still carries a TODO in code, and has no UI.</t>
  </si>
  <si>
    <t>Better than you assumed</t>
  </si>
  <si>
    <t>#42 Moratorium</t>
  </si>
  <si>
    <t>You marked 'No', but pre-EMI (interest-only) periods exist with ADD_PRE_EMI / SKIP_PRE_EMI transactions - a usable base for a moratorium.</t>
  </si>
  <si>
    <t>Demo risk - mock UI</t>
  </si>
  <si>
    <t>#17 Collateral</t>
  </si>
  <si>
    <t>modules/loans/LoanDetails/tabs/CollatoralTab.tsx renders a working-looking Collateral tab from a hardcoded array on the routed /loans/:loanId page. Same pattern in WaiversTab and RefundsTab. Do not demo these; the live module is modules/accounts.</t>
  </si>
  <si>
    <t>Answer to your question on #7</t>
  </si>
  <si>
    <t>#7 vs #10</t>
  </si>
  <si>
    <t>There is no difference in the codebase - 'loan revision' and 'restructuring' both map to the same restructuring processors and both regenerate the RPS. If the client means a non-schedule-impacting term amendment, that does not 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</si>
</sst>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1"/>
    </font>
    <font>
      <b/>
      <sz val="14"/>
      <color rgb="FFFFFFFF"/>
      <name val="Arial"/>
      <family val="2"/>
    </font>
    <font>
      <i/>
      <sz val="9"/>
      <color rgb="FF444444"/>
      <name val="Arial"/>
      <family val="2"/>
    </font>
    <font>
      <b/>
      <sz val="10"/>
      <color rgb="FFFFFFFF"/>
      <name val="Arial"/>
      <family val="2"/>
    </font>
    <font>
      <b/>
      <sz val="10"/>
      <name val="Arial"/>
      <family val="2"/>
    </font>
    <font>
      <b/>
      <sz val="9"/>
      <name val="Arial"/>
      <family val="2"/>
    </font>
    <font>
      <sz val="9"/>
      <name val="Arial"/>
      <family val="2"/>
    </font>
    <font>
      <b/>
      <sz val="9"/>
      <color rgb="FF9C5700"/>
      <name val="Arial"/>
      <family val="2"/>
    </font>
    <font>
      <i/>
      <sz val="9"/>
      <name val="Arial"/>
      <family val="2"/>
    </font>
    <font>
      <b/>
      <sz val="9"/>
      <color rgb="FF006100"/>
      <name val="Arial"/>
      <family val="2"/>
    </font>
    <font>
      <b/>
      <sz val="9"/>
      <color rgb="FF9C0006"/>
      <name val="Arial"/>
      <family val="2"/>
    </font>
    <font>
      <b/>
      <sz val="10"/>
      <color rgb="FF006100"/>
      <name val="Arial"/>
      <family val="2"/>
    </font>
    <font>
      <sz val="10"/>
      <name val="Arial"/>
      <family val="2"/>
    </font>
    <font>
      <b/>
      <sz val="10"/>
      <color rgb="FF9C5700"/>
      <name val="Arial"/>
      <family val="2"/>
    </font>
    <font>
      <b/>
      <sz val="10"/>
      <color rgb="FF9C0006"/>
      <name val="Arial"/>
      <family val="2"/>
    </font>
    <font>
      <b/>
      <sz val="12"/>
      <color rgb="FF1F3864"/>
      <name val="Arial"/>
      <family val="2"/>
    </font>
    <font>
      <b/>
      <sz val="10"/>
      <color rgb="FF1F3864"/>
      <name val="Arial"/>
      <family val="2"/>
    </font>
    <font>
      <b/>
      <sz val="10"/>
      <color rgb="FF000000"/>
      <name val="Arial"/>
      <family val="2"/>
    </font>
  </fonts>
  <fills count="8">
    <fill>
      <patternFill patternType="none"/>
    </fill>
    <fill>
      <patternFill patternType="gray125"/>
    </fill>
    <fill>
      <patternFill patternType="solid">
        <fgColor rgb="FF1F3864"/>
        <bgColor rgb="FF444444"/>
      </patternFill>
    </fill>
    <fill>
      <patternFill patternType="solid">
        <fgColor rgb="FF2E5496"/>
        <bgColor rgb="FF1F3864"/>
      </patternFill>
    </fill>
    <fill>
      <patternFill patternType="solid">
        <fgColor rgb="FFF2F5FA"/>
        <bgColor rgb="FFFFFFFF"/>
      </patternFill>
    </fill>
    <fill>
      <patternFill patternType="solid">
        <fgColor rgb="FFFFEB9C"/>
        <bgColor rgb="FFFFC7CE"/>
      </patternFill>
    </fill>
    <fill>
      <patternFill patternType="solid">
        <fgColor rgb="FFC6EFCE"/>
        <bgColor rgb="FFCCFFFF"/>
      </patternFill>
    </fill>
    <fill>
      <patternFill patternType="solid">
        <fgColor rgb="FFFFC7CE"/>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2" borderId="0" xfId="0" applyFont="1" applyFill="1"/>
    <xf numFmtId="0" fontId="2" fillId="0" borderId="0" xfId="0" applyFont="1" applyAlignment="1">
      <alignment vertical="top" wrapText="1"/>
    </xf>
    <xf numFmtId="0" fontId="1" fillId="2" borderId="0" xfId="0" applyFont="1" applyFill="1" applyAlignment="1">
      <alignment vertical="center"/>
    </xf>
    <xf numFmtId="0" fontId="3" fillId="3" borderId="0" xfId="0" applyFont="1" applyFill="1" applyAlignment="1">
      <alignment horizontal="center" vertical="center" wrapText="1"/>
    </xf>
    <xf numFmtId="0" fontId="4" fillId="4" borderId="1" xfId="0" applyFont="1" applyFill="1" applyBorder="1" applyAlignment="1">
      <alignment horizontal="center" vertical="top"/>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5" borderId="1" xfId="0" applyFont="1" applyFill="1" applyBorder="1" applyAlignment="1">
      <alignment horizontal="center" vertical="center" wrapText="1"/>
    </xf>
    <xf numFmtId="0" fontId="8" fillId="4" borderId="1" xfId="0" applyFont="1" applyFill="1" applyBorder="1" applyAlignment="1">
      <alignment vertical="top" wrapText="1"/>
    </xf>
    <xf numFmtId="0" fontId="4" fillId="0" borderId="1" xfId="0" applyFont="1" applyBorder="1" applyAlignment="1">
      <alignment horizontal="center" vertical="top"/>
    </xf>
    <xf numFmtId="0" fontId="5" fillId="0" borderId="1" xfId="0" applyFont="1" applyBorder="1" applyAlignment="1">
      <alignment vertical="top" wrapText="1"/>
    </xf>
    <xf numFmtId="0" fontId="6" fillId="0" borderId="1" xfId="0" applyFont="1" applyBorder="1" applyAlignment="1">
      <alignment vertical="top" wrapText="1"/>
    </xf>
    <xf numFmtId="0" fontId="8" fillId="0" borderId="1" xfId="0" applyFont="1" applyBorder="1" applyAlignment="1">
      <alignment vertical="top" wrapText="1"/>
    </xf>
    <xf numFmtId="0" fontId="9"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3" fillId="3" borderId="0" xfId="0" applyFont="1" applyFill="1" applyAlignment="1">
      <alignment horizontal="center"/>
    </xf>
    <xf numFmtId="0" fontId="11" fillId="6" borderId="1" xfId="0" applyFont="1" applyFill="1" applyBorder="1"/>
    <xf numFmtId="0" fontId="12" fillId="0" borderId="1" xfId="0" applyFont="1" applyBorder="1"/>
    <xf numFmtId="164" fontId="12" fillId="0" borderId="1" xfId="0" applyNumberFormat="1" applyFont="1" applyBorder="1"/>
    <xf numFmtId="0" fontId="13" fillId="5" borderId="1" xfId="0" applyFont="1" applyFill="1" applyBorder="1"/>
    <xf numFmtId="0" fontId="14" fillId="7" borderId="1" xfId="0" applyFont="1" applyFill="1" applyBorder="1"/>
    <xf numFmtId="0" fontId="4" fillId="0" borderId="1" xfId="0" applyFont="1" applyBorder="1"/>
    <xf numFmtId="0" fontId="0" fillId="0" borderId="1" xfId="0" applyBorder="1"/>
    <xf numFmtId="0" fontId="15" fillId="0" borderId="0" xfId="0" applyFont="1"/>
    <xf numFmtId="0" fontId="16" fillId="0" borderId="0" xfId="0" applyFont="1" applyAlignment="1">
      <alignment vertical="top" wrapText="1"/>
    </xf>
    <xf numFmtId="0" fontId="6" fillId="0" borderId="0" xfId="0" applyFont="1" applyAlignment="1">
      <alignment vertical="top" wrapText="1"/>
    </xf>
    <xf numFmtId="0" fontId="17"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2E5496"/>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46"/>
  <sheetViews>
    <sheetView tabSelected="1" zoomScale="125" zoomScaleNormal="100" workbookViewId="0">
      <pane xSplit="1" ySplit="4" topLeftCell="B37" activePane="bottomRight" state="frozen"/>
      <selection pane="topRight" activeCell="B1" sqref="B1"/>
      <selection pane="bottomLeft" activeCell="A5" sqref="A5"/>
      <selection pane="bottomRight" activeCell="F31" sqref="F31"/>
    </sheetView>
  </sheetViews>
  <sheetFormatPr baseColWidth="10" defaultColWidth="8.6640625" defaultRowHeight="15" x14ac:dyDescent="0.2"/>
  <cols>
    <col min="1" max="1" width="5" customWidth="1"/>
    <col min="2" max="2" width="40" customWidth="1"/>
    <col min="3" max="3" width="20" customWidth="1"/>
    <col min="4" max="4" width="14" customWidth="1"/>
    <col min="5" max="5" width="80" customWidth="1"/>
    <col min="6" max="6" width="72" customWidth="1"/>
    <col min="7" max="7" width="24" customWidth="1"/>
  </cols>
  <sheetData>
    <row r="1" spans="1:7" ht="25.5" customHeight="1" x14ac:dyDescent="0.2">
      <c r="A1" s="3" t="s">
        <v>0</v>
      </c>
      <c r="B1" s="3"/>
      <c r="C1" s="3"/>
      <c r="D1" s="3"/>
      <c r="E1" s="3"/>
      <c r="F1" s="3"/>
      <c r="G1" s="3"/>
    </row>
    <row r="2" spans="1:7" ht="42" customHeight="1" x14ac:dyDescent="0.2">
      <c r="A2" s="2" t="s">
        <v>1</v>
      </c>
      <c r="B2" s="2"/>
      <c r="C2" s="2"/>
      <c r="D2" s="2"/>
      <c r="E2" s="2"/>
      <c r="F2" s="2"/>
      <c r="G2" s="2"/>
    </row>
    <row r="4" spans="1:7" ht="30" customHeight="1" x14ac:dyDescent="0.2">
      <c r="A4" s="4" t="s">
        <v>2</v>
      </c>
      <c r="B4" s="4" t="s">
        <v>3</v>
      </c>
      <c r="C4" s="4" t="s">
        <v>4</v>
      </c>
      <c r="D4" s="4" t="s">
        <v>5</v>
      </c>
      <c r="E4" s="4" t="s">
        <v>6</v>
      </c>
      <c r="F4" s="4" t="s">
        <v>7</v>
      </c>
      <c r="G4" s="4" t="s">
        <v>8</v>
      </c>
    </row>
    <row r="5" spans="1:7" ht="93.75" customHeight="1" x14ac:dyDescent="0.2">
      <c r="A5" s="5">
        <v>1</v>
      </c>
      <c r="B5" s="6" t="s">
        <v>9</v>
      </c>
      <c r="C5" s="7" t="s">
        <v>10</v>
      </c>
      <c r="D5" s="8" t="s">
        <v>11</v>
      </c>
      <c r="E5" s="7" t="s">
        <v>12</v>
      </c>
      <c r="F5" s="7" t="s">
        <v>13</v>
      </c>
      <c r="G5" s="9" t="s">
        <v>14</v>
      </c>
    </row>
    <row r="6" spans="1:7" ht="75" customHeight="1" x14ac:dyDescent="0.2">
      <c r="A6" s="10">
        <v>2</v>
      </c>
      <c r="B6" s="11" t="s">
        <v>15</v>
      </c>
      <c r="C6" s="12" t="s">
        <v>16</v>
      </c>
      <c r="D6" s="8" t="s">
        <v>11</v>
      </c>
      <c r="E6" s="12" t="s">
        <v>17</v>
      </c>
      <c r="F6" s="12" t="s">
        <v>18</v>
      </c>
      <c r="G6" s="13" t="s">
        <v>19</v>
      </c>
    </row>
    <row r="7" spans="1:7" ht="83.25" customHeight="1" x14ac:dyDescent="0.2">
      <c r="A7" s="5">
        <v>3</v>
      </c>
      <c r="B7" s="6" t="s">
        <v>20</v>
      </c>
      <c r="C7" s="7" t="s">
        <v>16</v>
      </c>
      <c r="D7" s="8" t="s">
        <v>11</v>
      </c>
      <c r="E7" s="7" t="s">
        <v>21</v>
      </c>
      <c r="F7" s="7" t="s">
        <v>22</v>
      </c>
      <c r="G7" s="9" t="s">
        <v>23</v>
      </c>
    </row>
    <row r="8" spans="1:7" ht="64.5" customHeight="1" x14ac:dyDescent="0.2">
      <c r="A8" s="10">
        <v>4</v>
      </c>
      <c r="B8" s="11" t="s">
        <v>24</v>
      </c>
      <c r="C8" s="12" t="s">
        <v>16</v>
      </c>
      <c r="D8" s="8" t="s">
        <v>11</v>
      </c>
      <c r="E8" s="12" t="s">
        <v>25</v>
      </c>
      <c r="F8" s="12" t="s">
        <v>26</v>
      </c>
      <c r="G8" s="13" t="s">
        <v>23</v>
      </c>
    </row>
    <row r="9" spans="1:7" ht="69.75" customHeight="1" x14ac:dyDescent="0.2">
      <c r="A9" s="5">
        <v>5</v>
      </c>
      <c r="B9" s="6" t="s">
        <v>27</v>
      </c>
      <c r="C9" s="7" t="s">
        <v>28</v>
      </c>
      <c r="D9" s="8" t="s">
        <v>11</v>
      </c>
      <c r="E9" s="7" t="s">
        <v>29</v>
      </c>
      <c r="F9" s="7" t="s">
        <v>30</v>
      </c>
      <c r="G9" s="9" t="s">
        <v>31</v>
      </c>
    </row>
    <row r="10" spans="1:7" ht="60" customHeight="1" x14ac:dyDescent="0.2">
      <c r="A10" s="10">
        <v>6</v>
      </c>
      <c r="B10" s="11" t="s">
        <v>32</v>
      </c>
      <c r="C10" s="12" t="s">
        <v>33</v>
      </c>
      <c r="D10" s="8" t="s">
        <v>11</v>
      </c>
      <c r="E10" s="12" t="s">
        <v>34</v>
      </c>
      <c r="F10" s="12" t="s">
        <v>35</v>
      </c>
      <c r="G10" s="13" t="s">
        <v>36</v>
      </c>
    </row>
    <row r="11" spans="1:7" ht="69" hidden="1" customHeight="1" x14ac:dyDescent="0.2">
      <c r="A11" s="5">
        <v>7</v>
      </c>
      <c r="B11" s="6" t="s">
        <v>37</v>
      </c>
      <c r="C11" s="7" t="s">
        <v>38</v>
      </c>
      <c r="D11" s="14" t="s">
        <v>39</v>
      </c>
      <c r="E11" s="7" t="s">
        <v>40</v>
      </c>
      <c r="F11" s="7" t="s">
        <v>41</v>
      </c>
      <c r="G11" s="9" t="s">
        <v>42</v>
      </c>
    </row>
    <row r="12" spans="1:7" ht="63.75" customHeight="1" x14ac:dyDescent="0.2">
      <c r="A12" s="10">
        <v>8</v>
      </c>
      <c r="B12" s="11" t="s">
        <v>43</v>
      </c>
      <c r="C12" s="12" t="s">
        <v>44</v>
      </c>
      <c r="D12" s="8" t="s">
        <v>11</v>
      </c>
      <c r="E12" s="12" t="s">
        <v>45</v>
      </c>
      <c r="F12" s="12" t="s">
        <v>46</v>
      </c>
      <c r="G12" s="13" t="s">
        <v>47</v>
      </c>
    </row>
    <row r="13" spans="1:7" ht="60" hidden="1" customHeight="1" x14ac:dyDescent="0.2">
      <c r="A13" s="5">
        <v>9</v>
      </c>
      <c r="B13" s="6" t="s">
        <v>48</v>
      </c>
      <c r="C13" s="7" t="s">
        <v>16</v>
      </c>
      <c r="D13" s="14" t="s">
        <v>49</v>
      </c>
      <c r="E13" s="7" t="s">
        <v>50</v>
      </c>
      <c r="F13" s="7" t="s">
        <v>51</v>
      </c>
      <c r="G13" s="9" t="s">
        <v>52</v>
      </c>
    </row>
    <row r="14" spans="1:7" ht="72.75" hidden="1" customHeight="1" x14ac:dyDescent="0.2">
      <c r="A14" s="10">
        <v>10</v>
      </c>
      <c r="B14" s="11" t="s">
        <v>53</v>
      </c>
      <c r="C14" s="12" t="s">
        <v>16</v>
      </c>
      <c r="D14" s="14" t="s">
        <v>49</v>
      </c>
      <c r="E14" s="12" t="s">
        <v>54</v>
      </c>
      <c r="F14" s="12" t="s">
        <v>55</v>
      </c>
      <c r="G14" s="13" t="s">
        <v>52</v>
      </c>
    </row>
    <row r="15" spans="1:7" ht="69" hidden="1" customHeight="1" x14ac:dyDescent="0.2">
      <c r="A15" s="5">
        <v>11</v>
      </c>
      <c r="B15" s="6" t="s">
        <v>56</v>
      </c>
      <c r="C15" s="7" t="s">
        <v>16</v>
      </c>
      <c r="D15" s="14" t="s">
        <v>49</v>
      </c>
      <c r="E15" s="7" t="s">
        <v>57</v>
      </c>
      <c r="F15" s="7" t="s">
        <v>58</v>
      </c>
      <c r="G15" s="9" t="s">
        <v>59</v>
      </c>
    </row>
    <row r="16" spans="1:7" ht="75.75" hidden="1" customHeight="1" x14ac:dyDescent="0.2">
      <c r="A16" s="10">
        <v>12</v>
      </c>
      <c r="B16" s="11" t="s">
        <v>60</v>
      </c>
      <c r="C16" s="12" t="s">
        <v>16</v>
      </c>
      <c r="D16" s="14" t="s">
        <v>49</v>
      </c>
      <c r="E16" s="12" t="s">
        <v>61</v>
      </c>
      <c r="F16" s="12" t="s">
        <v>62</v>
      </c>
      <c r="G16" s="13" t="s">
        <v>52</v>
      </c>
    </row>
    <row r="17" spans="1:7" ht="81.75" hidden="1" customHeight="1" x14ac:dyDescent="0.2">
      <c r="A17" s="5">
        <v>13</v>
      </c>
      <c r="B17" s="6" t="s">
        <v>63</v>
      </c>
      <c r="C17" s="7" t="s">
        <v>16</v>
      </c>
      <c r="D17" s="14" t="s">
        <v>49</v>
      </c>
      <c r="E17" s="7" t="s">
        <v>64</v>
      </c>
      <c r="F17" s="7" t="s">
        <v>51</v>
      </c>
      <c r="G17" s="9" t="s">
        <v>52</v>
      </c>
    </row>
    <row r="18" spans="1:7" ht="60" customHeight="1" x14ac:dyDescent="0.2">
      <c r="A18" s="10">
        <v>14</v>
      </c>
      <c r="B18" s="11" t="s">
        <v>65</v>
      </c>
      <c r="C18" s="12" t="s">
        <v>66</v>
      </c>
      <c r="D18" s="8" t="s">
        <v>11</v>
      </c>
      <c r="E18" s="12" t="s">
        <v>67</v>
      </c>
      <c r="F18" s="12" t="s">
        <v>68</v>
      </c>
      <c r="G18" s="13" t="s">
        <v>69</v>
      </c>
    </row>
    <row r="19" spans="1:7" ht="60" customHeight="1" x14ac:dyDescent="0.2">
      <c r="A19" s="5">
        <v>15</v>
      </c>
      <c r="B19" s="6" t="s">
        <v>70</v>
      </c>
      <c r="C19" s="7" t="s">
        <v>16</v>
      </c>
      <c r="D19" s="8" t="s">
        <v>11</v>
      </c>
      <c r="E19" s="7" t="s">
        <v>71</v>
      </c>
      <c r="F19" s="7" t="s">
        <v>72</v>
      </c>
      <c r="G19" s="9" t="s">
        <v>23</v>
      </c>
    </row>
    <row r="20" spans="1:7" ht="63.75" hidden="1" customHeight="1" x14ac:dyDescent="0.2">
      <c r="A20" s="10">
        <v>16</v>
      </c>
      <c r="B20" s="11" t="s">
        <v>73</v>
      </c>
      <c r="C20" s="12" t="s">
        <v>16</v>
      </c>
      <c r="D20" s="14" t="s">
        <v>49</v>
      </c>
      <c r="E20" s="12" t="s">
        <v>74</v>
      </c>
      <c r="F20" s="12" t="s">
        <v>75</v>
      </c>
      <c r="G20" s="13" t="s">
        <v>52</v>
      </c>
    </row>
    <row r="21" spans="1:7" ht="67.5" customHeight="1" x14ac:dyDescent="0.2">
      <c r="A21" s="5">
        <v>17</v>
      </c>
      <c r="B21" s="6" t="s">
        <v>76</v>
      </c>
      <c r="C21" s="7" t="s">
        <v>66</v>
      </c>
      <c r="D21" s="15" t="s">
        <v>77</v>
      </c>
      <c r="E21" s="7" t="s">
        <v>78</v>
      </c>
      <c r="F21" s="7" t="s">
        <v>79</v>
      </c>
      <c r="G21" s="9" t="s">
        <v>80</v>
      </c>
    </row>
    <row r="22" spans="1:7" ht="72.75" customHeight="1" x14ac:dyDescent="0.2">
      <c r="A22" s="10">
        <v>18</v>
      </c>
      <c r="B22" s="11" t="s">
        <v>81</v>
      </c>
      <c r="C22" s="12" t="s">
        <v>82</v>
      </c>
      <c r="D22" s="8" t="s">
        <v>11</v>
      </c>
      <c r="E22" s="12" t="s">
        <v>83</v>
      </c>
      <c r="F22" s="12" t="s">
        <v>84</v>
      </c>
      <c r="G22" s="13" t="s">
        <v>85</v>
      </c>
    </row>
    <row r="23" spans="1:7" ht="108.75" hidden="1" customHeight="1" x14ac:dyDescent="0.2">
      <c r="A23" s="5">
        <v>19</v>
      </c>
      <c r="B23" s="6" t="s">
        <v>86</v>
      </c>
      <c r="C23" s="7" t="s">
        <v>16</v>
      </c>
      <c r="D23" s="14" t="s">
        <v>49</v>
      </c>
      <c r="E23" s="7" t="s">
        <v>87</v>
      </c>
      <c r="F23" s="7" t="s">
        <v>88</v>
      </c>
      <c r="G23" s="9" t="s">
        <v>52</v>
      </c>
    </row>
    <row r="24" spans="1:7" ht="60.75" hidden="1" customHeight="1" x14ac:dyDescent="0.2">
      <c r="A24" s="10">
        <v>20</v>
      </c>
      <c r="B24" s="11" t="s">
        <v>89</v>
      </c>
      <c r="C24" s="12" t="s">
        <v>16</v>
      </c>
      <c r="D24" s="14" t="s">
        <v>49</v>
      </c>
      <c r="E24" s="12" t="s">
        <v>90</v>
      </c>
      <c r="F24" s="12" t="s">
        <v>51</v>
      </c>
      <c r="G24" s="13" t="s">
        <v>52</v>
      </c>
    </row>
    <row r="25" spans="1:7" ht="66.75" hidden="1" customHeight="1" x14ac:dyDescent="0.2">
      <c r="A25" s="5">
        <v>21</v>
      </c>
      <c r="B25" s="6" t="s">
        <v>91</v>
      </c>
      <c r="C25" s="7" t="s">
        <v>16</v>
      </c>
      <c r="D25" s="14" t="s">
        <v>49</v>
      </c>
      <c r="E25" s="7" t="s">
        <v>92</v>
      </c>
      <c r="F25" s="7" t="s">
        <v>51</v>
      </c>
      <c r="G25" s="9" t="s">
        <v>52</v>
      </c>
    </row>
    <row r="26" spans="1:7" ht="90.75" customHeight="1" x14ac:dyDescent="0.2">
      <c r="A26" s="10">
        <v>22</v>
      </c>
      <c r="B26" s="11" t="s">
        <v>93</v>
      </c>
      <c r="C26" s="12" t="s">
        <v>16</v>
      </c>
      <c r="D26" s="8" t="s">
        <v>11</v>
      </c>
      <c r="E26" s="12" t="s">
        <v>94</v>
      </c>
      <c r="F26" s="12" t="s">
        <v>95</v>
      </c>
      <c r="G26" s="13" t="s">
        <v>96</v>
      </c>
    </row>
    <row r="27" spans="1:7" ht="105.75" hidden="1" customHeight="1" x14ac:dyDescent="0.2">
      <c r="A27" s="5">
        <v>23</v>
      </c>
      <c r="B27" s="6" t="s">
        <v>97</v>
      </c>
      <c r="C27" s="7" t="s">
        <v>16</v>
      </c>
      <c r="D27" s="14" t="s">
        <v>49</v>
      </c>
      <c r="E27" s="7" t="s">
        <v>98</v>
      </c>
      <c r="F27" s="7" t="s">
        <v>99</v>
      </c>
      <c r="G27" s="9" t="s">
        <v>100</v>
      </c>
    </row>
    <row r="28" spans="1:7" ht="93" hidden="1" customHeight="1" x14ac:dyDescent="0.2">
      <c r="A28" s="10">
        <v>24</v>
      </c>
      <c r="B28" s="11" t="s">
        <v>101</v>
      </c>
      <c r="C28" s="12" t="s">
        <v>16</v>
      </c>
      <c r="D28" s="14" t="s">
        <v>49</v>
      </c>
      <c r="E28" s="12" t="s">
        <v>102</v>
      </c>
      <c r="F28" s="12" t="s">
        <v>103</v>
      </c>
      <c r="G28" s="13" t="s">
        <v>104</v>
      </c>
    </row>
    <row r="29" spans="1:7" ht="73.5" customHeight="1" x14ac:dyDescent="0.2">
      <c r="A29" s="5">
        <v>25</v>
      </c>
      <c r="B29" s="6" t="s">
        <v>105</v>
      </c>
      <c r="C29" s="7" t="s">
        <v>106</v>
      </c>
      <c r="D29" s="8" t="s">
        <v>11</v>
      </c>
      <c r="E29" s="7" t="s">
        <v>107</v>
      </c>
      <c r="F29" s="7" t="s">
        <v>108</v>
      </c>
      <c r="G29" s="9" t="s">
        <v>109</v>
      </c>
    </row>
    <row r="30" spans="1:7" ht="72" customHeight="1" x14ac:dyDescent="0.2">
      <c r="A30" s="10">
        <v>26</v>
      </c>
      <c r="B30" s="11" t="s">
        <v>110</v>
      </c>
      <c r="C30" s="12" t="s">
        <v>111</v>
      </c>
      <c r="D30" s="8" t="s">
        <v>11</v>
      </c>
      <c r="E30" s="12" t="s">
        <v>112</v>
      </c>
      <c r="F30" s="12" t="s">
        <v>113</v>
      </c>
      <c r="G30" s="13" t="s">
        <v>114</v>
      </c>
    </row>
    <row r="31" spans="1:7" ht="60" customHeight="1" x14ac:dyDescent="0.2">
      <c r="A31" s="5">
        <v>27</v>
      </c>
      <c r="B31" s="6" t="s">
        <v>115</v>
      </c>
      <c r="C31" s="7" t="s">
        <v>116</v>
      </c>
      <c r="D31" s="8" t="s">
        <v>11</v>
      </c>
      <c r="E31" s="7" t="s">
        <v>117</v>
      </c>
      <c r="F31" s="7" t="s">
        <v>118</v>
      </c>
      <c r="G31" s="9" t="s">
        <v>119</v>
      </c>
    </row>
    <row r="32" spans="1:7" ht="74.25" customHeight="1" x14ac:dyDescent="0.2">
      <c r="A32" s="10">
        <v>28</v>
      </c>
      <c r="B32" s="11" t="s">
        <v>120</v>
      </c>
      <c r="C32" s="12" t="s">
        <v>16</v>
      </c>
      <c r="D32" s="8" t="s">
        <v>11</v>
      </c>
      <c r="E32" s="12" t="s">
        <v>121</v>
      </c>
      <c r="F32" s="12" t="s">
        <v>122</v>
      </c>
      <c r="G32" s="13" t="s">
        <v>123</v>
      </c>
    </row>
    <row r="33" spans="1:7" ht="60" customHeight="1" x14ac:dyDescent="0.2">
      <c r="A33" s="5">
        <v>29</v>
      </c>
      <c r="B33" s="6" t="s">
        <v>124</v>
      </c>
      <c r="C33" s="7" t="s">
        <v>125</v>
      </c>
      <c r="D33" s="15" t="s">
        <v>77</v>
      </c>
      <c r="E33" s="7" t="s">
        <v>126</v>
      </c>
      <c r="F33" s="7" t="s">
        <v>127</v>
      </c>
      <c r="G33" s="9" t="s">
        <v>52</v>
      </c>
    </row>
    <row r="34" spans="1:7" ht="77.25" hidden="1" customHeight="1" x14ac:dyDescent="0.2">
      <c r="A34" s="10">
        <v>30</v>
      </c>
      <c r="B34" s="11" t="s">
        <v>128</v>
      </c>
      <c r="C34" s="12" t="s">
        <v>16</v>
      </c>
      <c r="D34" s="14" t="s">
        <v>49</v>
      </c>
      <c r="E34" s="12" t="s">
        <v>129</v>
      </c>
      <c r="F34" s="12" t="s">
        <v>130</v>
      </c>
      <c r="G34" s="13" t="s">
        <v>131</v>
      </c>
    </row>
    <row r="35" spans="1:7" ht="93" hidden="1" customHeight="1" x14ac:dyDescent="0.2">
      <c r="A35" s="5">
        <v>31</v>
      </c>
      <c r="B35" s="6" t="s">
        <v>132</v>
      </c>
      <c r="C35" s="7" t="s">
        <v>16</v>
      </c>
      <c r="D35" s="14" t="s">
        <v>49</v>
      </c>
      <c r="E35" s="7" t="s">
        <v>133</v>
      </c>
      <c r="F35" s="7" t="s">
        <v>134</v>
      </c>
      <c r="G35" s="9" t="s">
        <v>52</v>
      </c>
    </row>
    <row r="36" spans="1:7" ht="60" customHeight="1" x14ac:dyDescent="0.2">
      <c r="A36" s="10">
        <v>32</v>
      </c>
      <c r="B36" s="11" t="s">
        <v>135</v>
      </c>
      <c r="C36" s="12" t="s">
        <v>125</v>
      </c>
      <c r="D36" s="15" t="s">
        <v>77</v>
      </c>
      <c r="E36" s="12" t="s">
        <v>136</v>
      </c>
      <c r="F36" s="12" t="s">
        <v>137</v>
      </c>
      <c r="G36" s="13" t="s">
        <v>52</v>
      </c>
    </row>
    <row r="37" spans="1:7" ht="153" customHeight="1" x14ac:dyDescent="0.2">
      <c r="A37" s="5">
        <v>33</v>
      </c>
      <c r="B37" s="6" t="s">
        <v>138</v>
      </c>
      <c r="C37" s="7" t="s">
        <v>16</v>
      </c>
      <c r="D37" s="8" t="s">
        <v>11</v>
      </c>
      <c r="E37" s="7" t="s">
        <v>139</v>
      </c>
      <c r="F37" s="7" t="s">
        <v>140</v>
      </c>
      <c r="G37" s="9" t="s">
        <v>141</v>
      </c>
    </row>
    <row r="38" spans="1:7" ht="72" customHeight="1" x14ac:dyDescent="0.2">
      <c r="A38" s="10">
        <v>34</v>
      </c>
      <c r="B38" s="11" t="s">
        <v>142</v>
      </c>
      <c r="C38" s="12" t="s">
        <v>143</v>
      </c>
      <c r="D38" s="15" t="s">
        <v>77</v>
      </c>
      <c r="E38" s="12" t="s">
        <v>144</v>
      </c>
      <c r="F38" s="12" t="s">
        <v>145</v>
      </c>
      <c r="G38" s="13" t="s">
        <v>146</v>
      </c>
    </row>
    <row r="39" spans="1:7" ht="60" customHeight="1" x14ac:dyDescent="0.2">
      <c r="A39" s="5">
        <v>35</v>
      </c>
      <c r="B39" s="6" t="s">
        <v>147</v>
      </c>
      <c r="C39" s="7" t="s">
        <v>125</v>
      </c>
      <c r="D39" s="15" t="s">
        <v>77</v>
      </c>
      <c r="E39" s="7" t="s">
        <v>148</v>
      </c>
      <c r="F39" s="7" t="s">
        <v>149</v>
      </c>
      <c r="G39" s="9" t="s">
        <v>150</v>
      </c>
    </row>
    <row r="40" spans="1:7" ht="66.75" hidden="1" customHeight="1" x14ac:dyDescent="0.2">
      <c r="A40" s="10">
        <v>36</v>
      </c>
      <c r="B40" s="11" t="s">
        <v>151</v>
      </c>
      <c r="C40" s="12" t="s">
        <v>16</v>
      </c>
      <c r="D40" s="14" t="s">
        <v>49</v>
      </c>
      <c r="E40" s="12" t="s">
        <v>152</v>
      </c>
      <c r="F40" s="12" t="s">
        <v>51</v>
      </c>
      <c r="G40" s="13" t="s">
        <v>52</v>
      </c>
    </row>
    <row r="41" spans="1:7" ht="60" customHeight="1" x14ac:dyDescent="0.2">
      <c r="A41" s="5">
        <v>37</v>
      </c>
      <c r="B41" s="6" t="s">
        <v>153</v>
      </c>
      <c r="C41" s="7" t="s">
        <v>125</v>
      </c>
      <c r="D41" s="15" t="s">
        <v>77</v>
      </c>
      <c r="E41" s="7" t="s">
        <v>154</v>
      </c>
      <c r="F41" s="7" t="s">
        <v>155</v>
      </c>
      <c r="G41" s="9" t="s">
        <v>52</v>
      </c>
    </row>
    <row r="42" spans="1:7" ht="82.5" customHeight="1" x14ac:dyDescent="0.2">
      <c r="A42" s="10">
        <v>38</v>
      </c>
      <c r="B42" s="11" t="s">
        <v>156</v>
      </c>
      <c r="C42" s="12" t="s">
        <v>16</v>
      </c>
      <c r="D42" s="8" t="s">
        <v>11</v>
      </c>
      <c r="E42" s="12" t="s">
        <v>157</v>
      </c>
      <c r="F42" s="12" t="s">
        <v>158</v>
      </c>
      <c r="G42" s="13" t="s">
        <v>159</v>
      </c>
    </row>
    <row r="43" spans="1:7" ht="66.75" customHeight="1" x14ac:dyDescent="0.2">
      <c r="A43" s="5">
        <v>39</v>
      </c>
      <c r="B43" s="6" t="s">
        <v>160</v>
      </c>
      <c r="C43" s="7" t="s">
        <v>16</v>
      </c>
      <c r="D43" s="8" t="s">
        <v>11</v>
      </c>
      <c r="E43" s="7" t="s">
        <v>161</v>
      </c>
      <c r="F43" s="7" t="s">
        <v>162</v>
      </c>
      <c r="G43" s="9" t="s">
        <v>23</v>
      </c>
    </row>
    <row r="44" spans="1:7" ht="60" customHeight="1" x14ac:dyDescent="0.2">
      <c r="A44" s="10">
        <v>40</v>
      </c>
      <c r="B44" s="11" t="s">
        <v>163</v>
      </c>
      <c r="C44" s="12" t="s">
        <v>16</v>
      </c>
      <c r="D44" s="8" t="s">
        <v>11</v>
      </c>
      <c r="E44" s="12" t="s">
        <v>164</v>
      </c>
      <c r="F44" s="12" t="s">
        <v>165</v>
      </c>
      <c r="G44" s="13" t="s">
        <v>166</v>
      </c>
    </row>
    <row r="45" spans="1:7" ht="60" customHeight="1" x14ac:dyDescent="0.2">
      <c r="A45" s="5">
        <v>41</v>
      </c>
      <c r="B45" s="6" t="s">
        <v>167</v>
      </c>
      <c r="C45" s="7" t="s">
        <v>125</v>
      </c>
      <c r="D45" s="15" t="s">
        <v>77</v>
      </c>
      <c r="E45" s="7" t="s">
        <v>168</v>
      </c>
      <c r="F45" s="7" t="s">
        <v>169</v>
      </c>
      <c r="G45" s="9" t="s">
        <v>52</v>
      </c>
    </row>
    <row r="46" spans="1:7" ht="75.75" customHeight="1" x14ac:dyDescent="0.2">
      <c r="A46" s="10">
        <v>42</v>
      </c>
      <c r="B46" s="11" t="s">
        <v>170</v>
      </c>
      <c r="C46" s="12" t="s">
        <v>125</v>
      </c>
      <c r="D46" s="8" t="s">
        <v>11</v>
      </c>
      <c r="E46" s="12" t="s">
        <v>171</v>
      </c>
      <c r="F46" s="12" t="s">
        <v>172</v>
      </c>
      <c r="G46" s="13" t="s">
        <v>173</v>
      </c>
    </row>
  </sheetData>
  <autoFilter ref="A4:G46" xr:uid="{00000000-0009-0000-0000-000000000000}">
    <filterColumn colId="3">
      <filters>
        <filter val="Not built"/>
        <filter val="Partial"/>
      </filters>
    </filterColumn>
  </autoFilter>
  <mergeCells count="2">
    <mergeCell ref="A1:G1"/>
    <mergeCell ref="A2:G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zoomScaleNormal="100" workbookViewId="0"/>
  </sheetViews>
  <sheetFormatPr baseColWidth="10" defaultColWidth="8.6640625" defaultRowHeight="15" x14ac:dyDescent="0.2"/>
  <cols>
    <col min="1" max="1" width="42" customWidth="1"/>
    <col min="2" max="2" width="105" customWidth="1"/>
    <col min="3" max="3" width="12" customWidth="1"/>
  </cols>
  <sheetData>
    <row r="1" spans="1:3" ht="24" customHeight="1" x14ac:dyDescent="0.2">
      <c r="A1" s="1" t="s">
        <v>174</v>
      </c>
      <c r="B1" s="1"/>
      <c r="C1" s="1"/>
    </row>
    <row r="3" spans="1:3" x14ac:dyDescent="0.2">
      <c r="A3" s="16" t="s">
        <v>175</v>
      </c>
      <c r="B3" s="16" t="s">
        <v>176</v>
      </c>
      <c r="C3" s="16" t="s">
        <v>177</v>
      </c>
    </row>
    <row r="4" spans="1:3" x14ac:dyDescent="0.2">
      <c r="A4" s="17" t="s">
        <v>49</v>
      </c>
      <c r="B4" s="18">
        <f>COUNTIF('Gap Analysis'!$D$5:$D$46,"Built*")</f>
        <v>15</v>
      </c>
      <c r="C4" s="19">
        <f>B4/$B$7</f>
        <v>0.35714285714285715</v>
      </c>
    </row>
    <row r="5" spans="1:3" x14ac:dyDescent="0.2">
      <c r="A5" s="20" t="s">
        <v>11</v>
      </c>
      <c r="B5" s="18">
        <f>COUNTIF('Gap Analysis'!$D$5:$D$46,"Partial")</f>
        <v>20</v>
      </c>
      <c r="C5" s="19">
        <f>B5/$B$7</f>
        <v>0.47619047619047616</v>
      </c>
    </row>
    <row r="6" spans="1:3" x14ac:dyDescent="0.2">
      <c r="A6" s="21" t="s">
        <v>77</v>
      </c>
      <c r="B6" s="18">
        <f>COUNTIF('Gap Analysis'!$D$5:$D$46,"Not built")</f>
        <v>7</v>
      </c>
      <c r="C6" s="19">
        <f>B6/$B$7</f>
        <v>0.16666666666666666</v>
      </c>
    </row>
    <row r="7" spans="1:3" x14ac:dyDescent="0.2">
      <c r="A7" s="22" t="s">
        <v>178</v>
      </c>
      <c r="B7" s="22">
        <f>SUM(B4:B6)</f>
        <v>42</v>
      </c>
      <c r="C7" s="23"/>
    </row>
    <row r="9" spans="1:3" ht="16" x14ac:dyDescent="0.2">
      <c r="A9" s="24" t="s">
        <v>179</v>
      </c>
    </row>
    <row r="10" spans="1:3" ht="28" x14ac:dyDescent="0.2">
      <c r="A10" s="25" t="s">
        <v>180</v>
      </c>
      <c r="B10" s="26"/>
    </row>
    <row r="11" spans="1:3" ht="34.5" customHeight="1" x14ac:dyDescent="0.2">
      <c r="A11" s="27" t="s">
        <v>181</v>
      </c>
      <c r="B11" s="26" t="s">
        <v>182</v>
      </c>
    </row>
    <row r="12" spans="1:3" ht="31.5" customHeight="1" x14ac:dyDescent="0.2">
      <c r="A12" s="27" t="s">
        <v>183</v>
      </c>
      <c r="B12" s="26" t="s">
        <v>184</v>
      </c>
    </row>
    <row r="13" spans="1:3" ht="29.25" customHeight="1" x14ac:dyDescent="0.2">
      <c r="A13" s="27" t="s">
        <v>185</v>
      </c>
      <c r="B13" s="26" t="s">
        <v>186</v>
      </c>
    </row>
    <row r="14" spans="1:3" ht="28.5" customHeight="1" x14ac:dyDescent="0.2">
      <c r="A14" s="27" t="s">
        <v>187</v>
      </c>
      <c r="B14" s="26" t="s">
        <v>188</v>
      </c>
    </row>
    <row r="15" spans="1:3" ht="30" customHeight="1" x14ac:dyDescent="0.2">
      <c r="A15" s="27" t="s">
        <v>189</v>
      </c>
      <c r="B15" s="26" t="s">
        <v>190</v>
      </c>
    </row>
    <row r="16" spans="1:3" ht="28.5" customHeight="1" x14ac:dyDescent="0.2">
      <c r="A16" s="27" t="s">
        <v>191</v>
      </c>
      <c r="B16" s="26" t="s">
        <v>192</v>
      </c>
    </row>
    <row r="17" spans="1:2" ht="29.25" customHeight="1" x14ac:dyDescent="0.2">
      <c r="A17" s="27" t="s">
        <v>193</v>
      </c>
      <c r="B17" s="26" t="s">
        <v>194</v>
      </c>
    </row>
    <row r="18" spans="1:2" ht="27.75" customHeight="1" x14ac:dyDescent="0.2">
      <c r="A18" s="27" t="s">
        <v>195</v>
      </c>
      <c r="B18" s="26" t="s">
        <v>196</v>
      </c>
    </row>
    <row r="19" spans="1:2" x14ac:dyDescent="0.2">
      <c r="A19" s="25"/>
      <c r="B19" s="26"/>
    </row>
    <row r="20" spans="1:2" x14ac:dyDescent="0.2">
      <c r="A20" s="25" t="s">
        <v>197</v>
      </c>
      <c r="B20" s="26"/>
    </row>
    <row r="21" spans="1:2" ht="32.25" customHeight="1" x14ac:dyDescent="0.2">
      <c r="A21" s="27" t="s">
        <v>198</v>
      </c>
      <c r="B21" s="26" t="s">
        <v>199</v>
      </c>
    </row>
    <row r="22" spans="1:2" x14ac:dyDescent="0.2">
      <c r="A22" s="25"/>
      <c r="B22" s="26"/>
    </row>
    <row r="23" spans="1:2" x14ac:dyDescent="0.2">
      <c r="A23" s="25" t="s">
        <v>200</v>
      </c>
      <c r="B23" s="26"/>
    </row>
    <row r="24" spans="1:2" ht="47.25" customHeight="1" x14ac:dyDescent="0.2">
      <c r="A24" s="27" t="s">
        <v>201</v>
      </c>
      <c r="B24" s="26" t="s">
        <v>202</v>
      </c>
    </row>
    <row r="25" spans="1:2" x14ac:dyDescent="0.2">
      <c r="A25" s="25"/>
      <c r="B25" s="26"/>
    </row>
    <row r="26" spans="1:2" x14ac:dyDescent="0.2">
      <c r="A26" s="25" t="s">
        <v>203</v>
      </c>
      <c r="B26" s="26"/>
    </row>
    <row r="27" spans="1:2" ht="45.75" customHeight="1" x14ac:dyDescent="0.2">
      <c r="A27" s="27" t="s">
        <v>204</v>
      </c>
      <c r="B27" s="26" t="s">
        <v>205</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Gap Analysis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Abhishek Sharma</cp:lastModifiedBy>
  <cp:revision>0</cp:revision>
  <dcterms:created xsi:type="dcterms:W3CDTF">2026-07-29T07:29:13Z</dcterms:created>
  <dcterms:modified xsi:type="dcterms:W3CDTF">2026-07-29T21:13:40Z</dcterms:modified>
  <dc:language>en-US</dc:language>
</cp:coreProperties>
</file>
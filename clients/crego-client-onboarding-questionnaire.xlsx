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Tier 1 — Screener" sheetId="2" state="visible" r:id="rId4"/>
    <sheet name="2. LOS Deep-Dive" sheetId="3" state="visible" r:id="rId5"/>
    <sheet name="3. LMS Deep-Dive" sheetId="4" state="visible" r:id="rId6"/>
    <sheet name="4. SCF Deep-Dive" sheetId="5" state="visible" r:id="rId7"/>
    <sheet name="5. Term Loan Deep-Dive" sheetId="6" state="visible" r:id="rId8"/>
    <sheet name="6. LOS for SCF &amp; TL" sheetId="7" state="visible" r:id="rId9"/>
    <sheet name="7. Users, Roles &amp; Access" sheetId="8" state="visible" r:id="rId10"/>
    <sheet name="8. Maker-Checker &amp; Approvals" sheetId="9" state="visible" r:id="rId11"/>
    <sheet name="9. Bulk Operations" sheetId="10" state="visible" r:id="rId12"/>
    <sheet name="10. APIs &amp; Integrations" sheetId="11" state="visible" r:id="rId13"/>
    <sheet name="11. Compliance &amp; Security" sheetId="12" state="visible" r:id="rId14"/>
    <sheet name="12. Data Migration" sheetId="13" state="visible" r:id="rId15"/>
    <sheet name="13. Reporting &amp; Dashboards" sheetId="14" state="visible" r:id="rId16"/>
    <sheet name="14. Timeline &amp; Go-Live" sheetId="15" state="visible" r:id="rId17"/>
    <sheet name="15. Scoping Summary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<sst xmlns="http://schemas.openxmlformats.org/spreadsheetml/2006/main" count="1261" uniqueCount="614">
  <si>
    <t xml:space="preserve">Crego — Client Onboarding Questionnaire</t>
  </si>
  <si>
    <t xml:space="preserve">First-call discovery + deep-dive scoping for LOS, LMS, SCF, Term Loan, and LOS-for-SCF/TL</t>
  </si>
  <si>
    <t xml:space="preserve">Engagement Snapshot</t>
  </si>
  <si>
    <t xml:space="preserve">Client (Legal Name)</t>
  </si>
  <si>
    <t xml:space="preserve">Trading / Brand Name</t>
  </si>
  <si>
    <t xml:space="preserve">Primary Contact (Name, Role)</t>
  </si>
  <si>
    <t xml:space="preserve">Primary Contact Email / Phone</t>
  </si>
  <si>
    <t xml:space="preserve">Crego Account Owner</t>
  </si>
  <si>
    <t xml:space="preserve">Crego Solutioning Lead</t>
  </si>
  <si>
    <t xml:space="preserve">Discovery Call Date</t>
  </si>
  <si>
    <t xml:space="preserve">Questionnaire Version</t>
  </si>
  <si>
    <t xml:space="preserve">v1.0</t>
  </si>
  <si>
    <t xml:space="preserve">Last Updated</t>
  </si>
  <si>
    <t xml:space="preserve">How to use this workbook</t>
  </si>
  <si>
    <t xml:space="preserve">1. Start with Sheet 1 — Tier 1 Screener. Run through this with the client on the first discovery call.</t>
  </si>
  <si>
    <t xml:space="preserve">2. Based on which modules are in scope, open the relevant deep-dive sheets (2–6) and fill them as you uncover detail.</t>
  </si>
  <si>
    <t xml:space="preserve">3. Sheets 7–14 are cross-cutting topics (permissions, maker-checker, bulk ops, APIs, compliance, data migration, reporting, timeline). These apply regardless of module.</t>
  </si>
  <si>
    <t xml:space="preserve">4. For every question, set Priority (Must / Should / Nice) and flag Blocker for Go-Live (Yes / No / TBD). Use the dropdowns in columns I and J.</t>
  </si>
  <si>
    <t xml:space="preserve">5. Sheet 15 — Scoping Summary auto-aggregates blocker counts and section completeness to surface risk areas.</t>
  </si>
  <si>
    <t xml:space="preserve">6. Treat the workbook as living. Re-version on each major update; keep prior versions in the release-management folder.</t>
  </si>
  <si>
    <t xml:space="preserve">Sheet Index</t>
  </si>
  <si>
    <t xml:space="preserve">Sheet</t>
  </si>
  <si>
    <t xml:space="preserve">Purpose</t>
  </si>
  <si>
    <t xml:space="preserve">1. Tier 1 — Screener</t>
  </si>
  <si>
    <t xml:space="preserve">Cross-product screener for first call. Use this in the discovery meeting; deeper sheets are filled only if relevant.</t>
  </si>
  <si>
    <t xml:space="preserve">2. LOS Deep-Dive</t>
  </si>
  <si>
    <t xml:space="preserve">Loan Origination System — retail / unsecured / secured products with consumer-facing journey.</t>
  </si>
  <si>
    <t xml:space="preserve">3. LMS Deep-Dive</t>
  </si>
  <si>
    <t xml:space="preserve">Loan Management System — schedules, repayments, servicing, collections, accounting.</t>
  </si>
  <si>
    <t xml:space="preserve">4. SCF Deep-Dive</t>
  </si>
  <si>
    <t xml:space="preserve">Supply Chain Finance — anchor / dealer / vendor / factoring / dynamic discounting programs.</t>
  </si>
  <si>
    <t xml:space="preserve">5. Term Loan Deep-Dive</t>
  </si>
  <si>
    <t xml:space="preserve">Term loan origination &amp; servicing — sanction structure, drawdown, security, monitoring.</t>
  </si>
  <si>
    <t xml:space="preserve">6. LOS for SCF &amp; TL</t>
  </si>
  <si>
    <t xml:space="preserve">Origination workflow specific to SCF &amp; Term Loan — entity KYC, financial analytics, credit memos, committee approvals.</t>
  </si>
  <si>
    <t xml:space="preserve">7. Users, Roles &amp; Access</t>
  </si>
  <si>
    <t xml:space="preserve">Role taxonomy, hierarchies, scoped data access, license model.</t>
  </si>
  <si>
    <t xml:space="preserve">8. Maker-Checker &amp; Approvals</t>
  </si>
  <si>
    <t xml:space="preserve">Approval matrices, multi-level workflows, audit, escalation.</t>
  </si>
  <si>
    <t xml:space="preserve">9. Bulk Operations</t>
  </si>
  <si>
    <t xml:space="preserve">All bulk uploads, approvals, disbursements, postings.</t>
  </si>
  <si>
    <t xml:space="preserve">10. APIs &amp; Integrations</t>
  </si>
  <si>
    <t xml:space="preserve">Inbound / outbound APIs, webhooks, vendor integrations inventory.</t>
  </si>
  <si>
    <t xml:space="preserve">11. Compliance &amp; Security</t>
  </si>
  <si>
    <t xml:space="preserve">Regulatory frameworks, security controls, privacy, DR/BCP, audit posture.</t>
  </si>
  <si>
    <t xml:space="preserve">12. Data Migration</t>
  </si>
  <si>
    <t xml:space="preserve">Source inventory, cutover strategy, reconciliation, document &amp; history migration.</t>
  </si>
  <si>
    <t xml:space="preserve">13. Reporting &amp; Dashboards</t>
  </si>
  <si>
    <t xml:space="preserve">MIS, regulatory reports, dashboards, BI integration.</t>
  </si>
  <si>
    <t xml:space="preserve">14. Timeline &amp; Go-Live</t>
  </si>
  <si>
    <t xml:space="preserve">Environments, training, hypercare, post-go-live support.</t>
  </si>
  <si>
    <t xml:space="preserve">15. Scoping Summary</t>
  </si>
  <si>
    <t xml:space="preserve">Auto-aggregated view: question counts, blockers flagged, completeness per section.</t>
  </si>
  <si>
    <t xml:space="preserve">#</t>
  </si>
  <si>
    <t xml:space="preserve">Section</t>
  </si>
  <si>
    <t xml:space="preserve">Question</t>
  </si>
  <si>
    <t xml:space="preserve">Why it matters / Scoping impact</t>
  </si>
  <si>
    <t xml:space="preserve">Response type</t>
  </si>
  <si>
    <t xml:space="preserve">Answer</t>
  </si>
  <si>
    <t xml:space="preserve">Notes / Follow-up</t>
  </si>
  <si>
    <t xml:space="preserve">Owner (Crego)</t>
  </si>
  <si>
    <t xml:space="preserve">Priority</t>
  </si>
  <si>
    <t xml:space="preserve">Blocker for Go-Live?</t>
  </si>
  <si>
    <t xml:space="preserve">Project Basics</t>
  </si>
  <si>
    <t xml:space="preserve">What is your expected go-live date for this product?</t>
  </si>
  <si>
    <t xml:space="preserve">Anchors the entire delivery plan and resourcing.</t>
  </si>
  <si>
    <t xml:space="preserve">date</t>
  </si>
  <si>
    <t xml:space="preserve">Is there a hard regulatory or business deadline driving this go-live? If yes, describe.</t>
  </si>
  <si>
    <t xml:space="preserve">Distinguishes flexible launches from regulator/board commitments.</t>
  </si>
  <si>
    <t xml:space="preserve">text</t>
  </si>
  <si>
    <t xml:space="preserve">What is your target UAT start date?</t>
  </si>
  <si>
    <t xml:space="preserve">Sets the cutoff for development and integration freeze.</t>
  </si>
  <si>
    <t xml:space="preserve">Is this a phased rollout, big-bang, or pilot-first launch?</t>
  </si>
  <si>
    <t xml:space="preserve">Determines scope of MVP vs. full release.</t>
  </si>
  <si>
    <t xml:space="preserve">single</t>
  </si>
  <si>
    <t xml:space="preserve">Are you using a digital LOS/LMS for the first time, or migrating from an existing system?</t>
  </si>
  <si>
    <t xml:space="preserve">Greenfield vs. migration changes effort by 30–50%.</t>
  </si>
  <si>
    <t xml:space="preserve">If migrating, which system(s) are you replacing? (vendor + module)</t>
  </si>
  <si>
    <t xml:space="preserve">Drives migration scripts and data mapping effort.</t>
  </si>
  <si>
    <t xml:space="preserve">Modules &amp; Products in Scope</t>
  </si>
  <si>
    <t xml:space="preserve">Which Crego modules are in scope for this engagement? (LOS / LMS / SCF / Term Loan / LOS for SCF &amp; TL)</t>
  </si>
  <si>
    <t xml:space="preserve">Defines the module set to deploy and configure.</t>
  </si>
  <si>
    <t xml:space="preserve">multi</t>
  </si>
  <si>
    <t xml:space="preserve">Which loan products will go live in Phase 1?</t>
  </si>
  <si>
    <t xml:space="preserve">Each product type adds configuration, document, and rule effort.</t>
  </si>
  <si>
    <t xml:space="preserve">Are any products planned for later phases? List with target dates.</t>
  </si>
  <si>
    <t xml:space="preserve">Helps shape the roadmap beyond Phase 1.</t>
  </si>
  <si>
    <t xml:space="preserve">What borrower segments do you serve? (retail / SME / corporate / anchor / dealer / vendor)</t>
  </si>
  <si>
    <t xml:space="preserve">Drives KYC, underwriting, and journey complexity.</t>
  </si>
  <si>
    <t xml:space="preserve">Volume &amp; Scale</t>
  </si>
  <si>
    <t xml:space="preserve">Expected applicant/lead volume per month at launch and 12 months out.</t>
  </si>
  <si>
    <t xml:space="preserve">Sizes infrastructure, performance SLAs, and bulk handling.</t>
  </si>
  <si>
    <t xml:space="preserve">Expected monthly disbursement count and ticket size range.</t>
  </si>
  <si>
    <t xml:space="preserve">Affects load on disbursement, accounting, and integrations.</t>
  </si>
  <si>
    <t xml:space="preserve">Live portfolio at go-live (count of active loans + outstanding ₹).</t>
  </si>
  <si>
    <t xml:space="preserve">Drives LMS sizing and migration effort.</t>
  </si>
  <si>
    <t xml:space="preserve">Peak concurrent internal users expected.</t>
  </si>
  <si>
    <t xml:space="preserve">Sets license model and performance tests.</t>
  </si>
  <si>
    <t xml:space="preserve">number</t>
  </si>
  <si>
    <t xml:space="preserve">Geographies / states in scope at launch.</t>
  </si>
  <si>
    <t xml:space="preserve">Stamp duty, language, and legal templates vary by state.</t>
  </si>
  <si>
    <t xml:space="preserve">Users &amp; Channels</t>
  </si>
  <si>
    <t xml:space="preserve">Internal user count by broad role (sales / credit / ops / risk / collections / admin).</t>
  </si>
  <si>
    <t xml:space="preserve">Drives access control and licensing setup.</t>
  </si>
  <si>
    <t xml:space="preserve">Number of external partners (DSAs, branches, anchors, dealers) needing access.</t>
  </si>
  <si>
    <t xml:space="preserve">Affects partner onboarding workflow and scaling.</t>
  </si>
  <si>
    <t xml:space="preserve">Customer-facing journey channels needed at launch (web / mobile / assisted / API).</t>
  </si>
  <si>
    <t xml:space="preserve">Each channel has its own UI, KYC, and consent flow.</t>
  </si>
  <si>
    <t xml:space="preserve">Languages required for borrower journey &amp; communications.</t>
  </si>
  <si>
    <t xml:space="preserve">Localization adds template + UI work.</t>
  </si>
  <si>
    <t xml:space="preserve">White-label / co-branded UI required?</t>
  </si>
  <si>
    <t xml:space="preserve">Theming, domains, and certificates needed.</t>
  </si>
  <si>
    <t xml:space="preserve">yesno</t>
  </si>
  <si>
    <t xml:space="preserve">Tech Foundations</t>
  </si>
  <si>
    <t xml:space="preserve">Hosting preference: Crego SaaS / private cloud / on-prem?</t>
  </si>
  <si>
    <t xml:space="preserve">Determines deployment topology and timeline.</t>
  </si>
  <si>
    <t xml:space="preserve">SSO required? If yes, identity provider (Azure AD / Okta / Keycloak / other).</t>
  </si>
  <si>
    <t xml:space="preserve">SSO integration is a non-trivial dependency.</t>
  </si>
  <si>
    <t xml:space="preserve">Data residency requirements (India / specific region / no preference).</t>
  </si>
  <si>
    <t xml:space="preserve">Constrains cloud region and DR strategy.</t>
  </si>
  <si>
    <t xml:space="preserve">Compliance frameworks the platform must meet (RBI Digital Lending / SOC2 / ISO 27001 / PCI / DPDP).</t>
  </si>
  <si>
    <t xml:space="preserve">Each framework has its own controls and evidence.</t>
  </si>
  <si>
    <t xml:space="preserve">List the integrations you need at go-live (CBS, bureau, KYC, e-sign, e-mandate, payment gateway, GSTN, AA, etc.).</t>
  </si>
  <si>
    <t xml:space="preserve">Each integration is its own mini project.</t>
  </si>
  <si>
    <t xml:space="preserve">Delivery &amp; Engagement</t>
  </si>
  <si>
    <t xml:space="preserve">Is there an internal product owner / project manager assigned on your side?</t>
  </si>
  <si>
    <t xml:space="preserve">A single accountable owner accelerates delivery.</t>
  </si>
  <si>
    <t xml:space="preserve">Do you have BAs, testers, and infra resources available for UAT and integration?</t>
  </si>
  <si>
    <t xml:space="preserve">Client-side bandwidth often defines critical path.</t>
  </si>
  <si>
    <t xml:space="preserve">Who owns end-user training — Crego or client?</t>
  </si>
  <si>
    <t xml:space="preserve">Determines training content and TTT effort.</t>
  </si>
  <si>
    <t xml:space="preserve">Any commercial or budget constraints we should be aware of?</t>
  </si>
  <si>
    <t xml:space="preserve">Helps shape MVP and phasing.</t>
  </si>
  <si>
    <t xml:space="preserve">Preferred cadence for status reviews (weekly / bi-weekly / monthly).</t>
  </si>
  <si>
    <t xml:space="preserve">Sets governance rhythm.</t>
  </si>
  <si>
    <t xml:space="preserve">Products &amp; Channels</t>
  </si>
  <si>
    <t xml:space="preserve">List all retail loan products in scope (e.g., PL, BL, HL, Auto, Gold, Education).</t>
  </si>
  <si>
    <t xml:space="preserve">Each product has its own form, eligibility, docs, and scorecards.</t>
  </si>
  <si>
    <t xml:space="preserve">Source channels at launch (DIY web/app / assisted by RM / branch / partner portal / API).</t>
  </si>
  <si>
    <t xml:space="preserve">Channel sets determine front-end, auth, and audit needs.</t>
  </si>
  <si>
    <t xml:space="preserve">Will third-party fintech / aggregator partners originate via API?</t>
  </si>
  <si>
    <t xml:space="preserve">Drives outbound API design and onboarding flow.</t>
  </si>
  <si>
    <t xml:space="preserve">Pre-approved / pre-qualified offers needed at launch?</t>
  </si>
  <si>
    <t xml:space="preserve">Adds offer engine and customer master integration.</t>
  </si>
  <si>
    <t xml:space="preserve">Application Journey</t>
  </si>
  <si>
    <t xml:space="preserve">Walk through your target applicant journey, stage by stage.</t>
  </si>
  <si>
    <t xml:space="preserve">Establishes the LOS workflow blueprint.</t>
  </si>
  <si>
    <t xml:space="preserve">What data should be prefilled (PAN-driven, mobile-driven, account aggregator, demographic look-up)?</t>
  </si>
  <si>
    <t xml:space="preserve">Prefill cuts drop-off but adds integrations.</t>
  </si>
  <si>
    <t xml:space="preserve">Are there state-specific or product-specific journey variations?</t>
  </si>
  <si>
    <t xml:space="preserve">Branching logic increases configuration time.</t>
  </si>
  <si>
    <t xml:space="preserve">Is co-applicant / guarantor / joint-applicant support required at launch?</t>
  </si>
  <si>
    <t xml:space="preserve">Multi-party flows complicate KYC, agreements, and decisioning.</t>
  </si>
  <si>
    <t xml:space="preserve">Save-and-resume across sessions / channels?</t>
  </si>
  <si>
    <t xml:space="preserve">Session state and identity persistence required.</t>
  </si>
  <si>
    <t xml:space="preserve">KYC &amp; Verification</t>
  </si>
  <si>
    <t xml:space="preserve">KYC modes required (Aadhaar OKYC / DigiLocker / Video KYC / CKYC / offline).</t>
  </si>
  <si>
    <t xml:space="preserve">Each mode requires a different vendor + consent flow.</t>
  </si>
  <si>
    <t xml:space="preserve">Identity vendors already empanelled (or to be procured by Crego).</t>
  </si>
  <si>
    <t xml:space="preserve">Procurement timelines can block UAT.</t>
  </si>
  <si>
    <t xml:space="preserve">Penny drop / bank account verification vendor preference.</t>
  </si>
  <si>
    <t xml:space="preserve">Common gating step before disbursement.</t>
  </si>
  <si>
    <t xml:space="preserve">OCR for documents (PAN, Aadhaar, payslip, bank statement) required?</t>
  </si>
  <si>
    <t xml:space="preserve">Adds OCR/LLM pipeline and fallback logic.</t>
  </si>
  <si>
    <t xml:space="preserve">Bank statement analysis / GST analytics / ITR analytics needed?</t>
  </si>
  <si>
    <t xml:space="preserve">Drives integrations with FinBox / Perfios / FinFort etc.</t>
  </si>
  <si>
    <t xml:space="preserve">Underwriting &amp; Decisioning</t>
  </si>
  <si>
    <t xml:space="preserve">Underwriting model: rule engine, score-card, manual, hybrid?</t>
  </si>
  <si>
    <t xml:space="preserve">Determines complexity of the decisioning configuration.</t>
  </si>
  <si>
    <t xml:space="preserve">Will Crego host the rule engine, or integrate with your existing engine?</t>
  </si>
  <si>
    <t xml:space="preserve">Hosting choice affects latency, change management, and audit.</t>
  </si>
  <si>
    <t xml:space="preserve">Bureau pulls required (CIBIL / Experian / Equifax / CRIF) and at which stages.</t>
  </si>
  <si>
    <t xml:space="preserve">Each bureau is a separate integration with its own contract.</t>
  </si>
  <si>
    <t xml:space="preserve">Hunter / fraud check vendor in scope?</t>
  </si>
  <si>
    <t xml:space="preserve">Adds another integration and decisioning step.</t>
  </si>
  <si>
    <t xml:space="preserve">Decisioning matrix levels (auto-approve / refer / decline / committee).</t>
  </si>
  <si>
    <t xml:space="preserve">Determines workflow paths and SLAs.</t>
  </si>
  <si>
    <t xml:space="preserve">Are there exception / deviation approval workflows?</t>
  </si>
  <si>
    <t xml:space="preserve">Adds maker-checker layers and audit needs.</t>
  </si>
  <si>
    <t xml:space="preserve">Documentation &amp; Sanction</t>
  </si>
  <si>
    <t xml:space="preserve">Document checklist per product. Static or dynamic by profile?</t>
  </si>
  <si>
    <t xml:space="preserve">Dynamic checklists need rule configuration.</t>
  </si>
  <si>
    <t xml:space="preserve">Sanction letter / offer letter templates: count, languages, dynamic fields.</t>
  </si>
  <si>
    <t xml:space="preserve">Each template needs design + variable mapping.</t>
  </si>
  <si>
    <t xml:space="preserve">E-sign vendor preference (NSDL / Protean / Leegality / DocuSign).</t>
  </si>
  <si>
    <t xml:space="preserve">Affects integration and legal sign-off.</t>
  </si>
  <si>
    <t xml:space="preserve">E-stamping flow needed? Per state stamp duty matrix?</t>
  </si>
  <si>
    <t xml:space="preserve">State-specific stamp duty is a large configuration item.</t>
  </si>
  <si>
    <t xml:space="preserve">Agreement templates count and variations by product / state.</t>
  </si>
  <si>
    <t xml:space="preserve">Each template variant adds review/QA effort.</t>
  </si>
  <si>
    <t xml:space="preserve">Disbursement</t>
  </si>
  <si>
    <t xml:space="preserve">Disbursement modes (NEFT / RTGS / IMPS / partner / cheque).</t>
  </si>
  <si>
    <t xml:space="preserve">Each mode has its own integration and reconciliation.</t>
  </si>
  <si>
    <t xml:space="preserve">Payout via own bank or partner bank? Multiple payout banks?</t>
  </si>
  <si>
    <t xml:space="preserve">Multi-bank routing rules add complexity.</t>
  </si>
  <si>
    <t xml:space="preserve">Disbursal conditions (post-PDD docs, post-disbursal conditions).</t>
  </si>
  <si>
    <t xml:space="preserve">Conditional disbursement extends the workflow.</t>
  </si>
  <si>
    <t xml:space="preserve">Tranche disbursement support required at launch?</t>
  </si>
  <si>
    <t xml:space="preserve">Common in TL, less in retail; add tranche management.</t>
  </si>
  <si>
    <t xml:space="preserve">Sales Hierarchy &amp; Tracking</t>
  </si>
  <si>
    <t xml:space="preserve">Define your sales hierarchy depth (RM / BM / Cluster / Zonal / National).</t>
  </si>
  <si>
    <t xml:space="preserve">Drives access scope and reporting trees.</t>
  </si>
  <si>
    <t xml:space="preserve">Lead source tracking (UTM, partner ID, branch code) required?</t>
  </si>
  <si>
    <t xml:space="preserve">Affects analytics and partner payouts.</t>
  </si>
  <si>
    <t xml:space="preserve">Per-stage SLA tracking and breach alerts needed?</t>
  </si>
  <si>
    <t xml:space="preserve">Adds SLA engine + notification layer.</t>
  </si>
  <si>
    <t xml:space="preserve">Reassignment / pool reassignment of leads?</t>
  </si>
  <si>
    <t xml:space="preserve">Common feature, but configuration heavy.</t>
  </si>
  <si>
    <t xml:space="preserve">Product Master &amp; Schedules</t>
  </si>
  <si>
    <t xml:space="preserve">Interest computation methods needed (flat / reducing / step-up / step-down / hybrid).</t>
  </si>
  <si>
    <t xml:space="preserve">Each method has different schedule logic.</t>
  </si>
  <si>
    <t xml:space="preserve">Tenure ranges and frequency options (monthly / quarterly / bullet).</t>
  </si>
  <si>
    <t xml:space="preserve">Drives schedule generator and dunning.</t>
  </si>
  <si>
    <t xml:space="preserve">Broken period interest / pre-EMI rules.</t>
  </si>
  <si>
    <t xml:space="preserve">Edge cases must be agreed before go-live.</t>
  </si>
  <si>
    <t xml:space="preserve">Moratorium support (principal / interest / both).</t>
  </si>
  <si>
    <t xml:space="preserve">Common in HL/Edu/MSME loans.</t>
  </si>
  <si>
    <t xml:space="preserve">Repayment &amp; Mandates</t>
  </si>
  <si>
    <t xml:space="preserve">eNACH / eMandate vendor preference and counter-bank list.</t>
  </si>
  <si>
    <t xml:space="preserve">Vendor lead time and mandate registration are critical-path.</t>
  </si>
  <si>
    <t xml:space="preserve">Standing instructions / direct debit alternatives?</t>
  </si>
  <si>
    <t xml:space="preserve">Backup repayment methods reduce delinquency.</t>
  </si>
  <si>
    <t xml:space="preserve">Auto-presentation calendar and bounce handling rules.</t>
  </si>
  <si>
    <t xml:space="preserve">Drives presentation logic and bank charge accounting.</t>
  </si>
  <si>
    <t xml:space="preserve">Multiple repayment instruments per loan (NACH + UPI + cash)?</t>
  </si>
  <si>
    <t xml:space="preserve">Hierarchy and reconciliation rules needed.</t>
  </si>
  <si>
    <t xml:space="preserve">Charges, Fees &amp; Penalties</t>
  </si>
  <si>
    <t xml:space="preserve">Define all charge heads (processing, foreclosure, bounce, late fee, legal, stamp).</t>
  </si>
  <si>
    <t xml:space="preserve">Each head has GL mapping and tax treatment.</t>
  </si>
  <si>
    <t xml:space="preserve">Foreclosure / part-payment rules and lock-in periods.</t>
  </si>
  <si>
    <t xml:space="preserve">Affects amortization recalculation logic.</t>
  </si>
  <si>
    <t xml:space="preserve">Penalty interest computation method (flat / per day / on overdue).</t>
  </si>
  <si>
    <t xml:space="preserve">Compliance with regulator caps must be ensured.</t>
  </si>
  <si>
    <t xml:space="preserve">GST and TDS treatment per charge head.</t>
  </si>
  <si>
    <t xml:space="preserve">Tax accounting is non-trivial.</t>
  </si>
  <si>
    <t xml:space="preserve">Restructure, Top-up &amp; Co-lending</t>
  </si>
  <si>
    <t xml:space="preserve">Restructure / reschedule support needed at launch?</t>
  </si>
  <si>
    <t xml:space="preserve">Adds workflows and audit trails.</t>
  </si>
  <si>
    <t xml:space="preserve">Top-up loans on existing accounts?</t>
  </si>
  <si>
    <t xml:space="preserve">Customer master + product linkage.</t>
  </si>
  <si>
    <t xml:space="preserve">Co-lending / partner sharing of fees, interest, and POS?</t>
  </si>
  <si>
    <t xml:space="preserve">Adds split-accounting and partner reporting.</t>
  </si>
  <si>
    <t xml:space="preserve">FLDG arrangements with partners?</t>
  </si>
  <si>
    <t xml:space="preserve">Compliance per RBI digital lending guidelines.</t>
  </si>
  <si>
    <t xml:space="preserve">Delinquency, Collections &amp; Recovery</t>
  </si>
  <si>
    <t xml:space="preserve">DPD bucketing definition (0/1-30/31-60/...) and NPA classification.</t>
  </si>
  <si>
    <t xml:space="preserve">Drives provisioning and reporting.</t>
  </si>
  <si>
    <t xml:space="preserve">Collections strategy (in-house, agency, hybrid). Allocation rules?</t>
  </si>
  <si>
    <t xml:space="preserve">Drives collections module design.</t>
  </si>
  <si>
    <t xml:space="preserve">Field collection mobile app required?</t>
  </si>
  <si>
    <t xml:space="preserve">Separate UX with offline support.</t>
  </si>
  <si>
    <t xml:space="preserve">Recovery / legal handover workflow needed?</t>
  </si>
  <si>
    <t xml:space="preserve">Adds case management and document templates.</t>
  </si>
  <si>
    <t xml:space="preserve">Tele-calling / dialer integration?</t>
  </si>
  <si>
    <t xml:space="preserve">Common for early-bucket collections.</t>
  </si>
  <si>
    <t xml:space="preserve">Customer Communication &amp; Self-Service</t>
  </si>
  <si>
    <t xml:space="preserve">Notification channels (SMS / email / WhatsApp / push) and templates.</t>
  </si>
  <si>
    <t xml:space="preserve">Templates need approval per regulator and DLT compliance.</t>
  </si>
  <si>
    <t xml:space="preserve">Borrower self-service portal / mobile app required?</t>
  </si>
  <si>
    <t xml:space="preserve">Adds another front-end.</t>
  </si>
  <si>
    <t xml:space="preserve">Self-service features: statement, NoC, foreclosure quote, part-payment, address change.</t>
  </si>
  <si>
    <t xml:space="preserve">Each feature is a separate workflow.</t>
  </si>
  <si>
    <t xml:space="preserve">Grievance / ticketing integration (in-app or external CRM).</t>
  </si>
  <si>
    <t xml:space="preserve">RBI mandates grievance redressal SLA.</t>
  </si>
  <si>
    <t xml:space="preserve">Accounting &amp; Finance</t>
  </si>
  <si>
    <t xml:space="preserve">Accounting / CBS to integrate with (Tally / SAP / Oracle / Finacle / custom).</t>
  </si>
  <si>
    <t xml:space="preserve">Integration depth = days to weeks.</t>
  </si>
  <si>
    <t xml:space="preserve">GL mapping document available?</t>
  </si>
  <si>
    <t xml:space="preserve">Speeds up accounting setup substantially.</t>
  </si>
  <si>
    <t xml:space="preserve">Day-end / month-end batch dependencies.</t>
  </si>
  <si>
    <t xml:space="preserve">Defines batch windows and SLAs.</t>
  </si>
  <si>
    <t xml:space="preserve">Insurance integration (single premium, recurring) — partners?</t>
  </si>
  <si>
    <t xml:space="preserve">Adds bundled product workflow.</t>
  </si>
  <si>
    <t xml:space="preserve">Program Design</t>
  </si>
  <si>
    <t xml:space="preserve">SCF programs in scope (dealer financing / vendor financing / factoring / reverse factoring / dynamic discounting).</t>
  </si>
  <si>
    <t xml:space="preserve">Each program is a distinct workflow.</t>
  </si>
  <si>
    <t xml:space="preserve">Anchor model: single anchor / multi-anchor / anchor-less.</t>
  </si>
  <si>
    <t xml:space="preserve">Drives onboarding hierarchy.</t>
  </si>
  <si>
    <t xml:space="preserve">Recourse, non-recourse, or partial-recourse?</t>
  </si>
  <si>
    <t xml:space="preserve">Affects credit policy and accounting.</t>
  </si>
  <si>
    <t xml:space="preserve">Pricing structure: anchor-level, counterparty-level, or both?</t>
  </si>
  <si>
    <t xml:space="preserve">Configuration of pricing matrices.</t>
  </si>
  <si>
    <t xml:space="preserve">Anchor &amp; Counterparty Onboarding</t>
  </si>
  <si>
    <t xml:space="preserve">Anchor onboarding flow steps and approval levels.</t>
  </si>
  <si>
    <t xml:space="preserve">Drives anchor master and limit setup.</t>
  </si>
  <si>
    <t xml:space="preserve">Counterparty (dealer/vendor) onboarding — bulk supported?</t>
  </si>
  <si>
    <t xml:space="preserve">High-volume onboarding needs bulk + auto-KYC.</t>
  </si>
  <si>
    <t xml:space="preserve">Limit setup: only anchor level, only counterparty level, or hierarchical?</t>
  </si>
  <si>
    <t xml:space="preserve">Limit hierarchy is core to SCF.</t>
  </si>
  <si>
    <t xml:space="preserve">KYC requirements for entities (PAN, GST, MOA/AOA, Board Resolution, beneficial owners).</t>
  </si>
  <si>
    <t xml:space="preserve">Entity KYC is heavier than retail KYC.</t>
  </si>
  <si>
    <t xml:space="preserve">Invoice &amp; Transaction Flow</t>
  </si>
  <si>
    <t xml:space="preserve">Invoice ingestion modes (manual upload / API / EDI / portal scrape / e-Invoice GSTN).</t>
  </si>
  <si>
    <t xml:space="preserve">Each mode is a separate ingestion pipeline.</t>
  </si>
  <si>
    <t xml:space="preserve">Validation rules (3-way match, GST verification, duplicate detection).</t>
  </si>
  <si>
    <t xml:space="preserve">Drives validation engine.</t>
  </si>
  <si>
    <t xml:space="preserve">Disbursement triggers (anchor approval / deemed acceptance T+n / counterparty request).</t>
  </si>
  <si>
    <t xml:space="preserve">Determines workflow timer logic.</t>
  </si>
  <si>
    <t xml:space="preserve">Tenure &amp; rollover rules per program.</t>
  </si>
  <si>
    <t xml:space="preserve">Affects schedule generator and limit recycling.</t>
  </si>
  <si>
    <t xml:space="preserve">Dynamic discounting tiers and slab logic?</t>
  </si>
  <si>
    <t xml:space="preserve">Adds pricing engine work.</t>
  </si>
  <si>
    <t xml:space="preserve">Repayment &amp; Reconciliation</t>
  </si>
  <si>
    <t xml:space="preserve">Repayment source (anchor sweep / counterparty direct / NACH / virtual account).</t>
  </si>
  <si>
    <t xml:space="preserve">Each path has its own reconciliation logic.</t>
  </si>
  <si>
    <t xml:space="preserve">Virtual account setup with which sponsor bank?</t>
  </si>
  <si>
    <t xml:space="preserve">Bank dependency for VA provisioning.</t>
  </si>
  <si>
    <t xml:space="preserve">Settlement frequency to anchor (T+0, T+1, weekly).</t>
  </si>
  <si>
    <t xml:space="preserve">Drives settlement engine SLA.</t>
  </si>
  <si>
    <t xml:space="preserve">Reconciliation reports needed by anchor, counterparty, and lender.</t>
  </si>
  <si>
    <t xml:space="preserve">Each stakeholder gets distinct view.</t>
  </si>
  <si>
    <t xml:space="preserve">Reporting &amp; Integration</t>
  </si>
  <si>
    <t xml:space="preserve">Anchor portal / dealer portal needed at launch?</t>
  </si>
  <si>
    <t xml:space="preserve">Separate UI per persona.</t>
  </si>
  <si>
    <t xml:space="preserve">Reporting to GSTN / e-Invoice obligations?</t>
  </si>
  <si>
    <t xml:space="preserve">Compliance integration.</t>
  </si>
  <si>
    <t xml:space="preserve">Integration with anchor's ERP (SAP / Oracle / Tally / custom)?</t>
  </si>
  <si>
    <t xml:space="preserve">Common requirement; ERP sandbox needed.</t>
  </si>
  <si>
    <t xml:space="preserve">Sanction &amp; Drawdown</t>
  </si>
  <si>
    <t xml:space="preserve">Sanction structure (single sanction, multi-tranche, revolving).</t>
  </si>
  <si>
    <t xml:space="preserve">Affects sanction limit + drawdown logic.</t>
  </si>
  <si>
    <t xml:space="preserve">Drawdown rules and conditions precedent (CP) checklist.</t>
  </si>
  <si>
    <t xml:space="preserve">Each CP is a workflow gate.</t>
  </si>
  <si>
    <t xml:space="preserve">Milestone / project monitoring required for drawdown release?</t>
  </si>
  <si>
    <t xml:space="preserve">Adds inspection and certificate workflows.</t>
  </si>
  <si>
    <t xml:space="preserve">Moratorium support (principal-only / interest-only / both)?</t>
  </si>
  <si>
    <t xml:space="preserve">Common in TL; affects schedule.</t>
  </si>
  <si>
    <t xml:space="preserve">Pricing &amp; Schedules</t>
  </si>
  <si>
    <t xml:space="preserve">Floating vs. fixed rate, with reset frequency and benchmark (Repo / MCLR / EBLR).</t>
  </si>
  <si>
    <t xml:space="preserve">Drives rate reset engine.</t>
  </si>
  <si>
    <t xml:space="preserve">Pre-EMI vs. full EMI period rules.</t>
  </si>
  <si>
    <t xml:space="preserve">Affects schedule transitions.</t>
  </si>
  <si>
    <t xml:space="preserve">Pre-payment / part-payment lock-in and rules.</t>
  </si>
  <si>
    <t xml:space="preserve">Compliance with RBI cap on charges.</t>
  </si>
  <si>
    <t xml:space="preserve">Security &amp; Charge Management</t>
  </si>
  <si>
    <t xml:space="preserve">Security types in scope (mortgage / hypothecation / pledge / personal guarantee).</t>
  </si>
  <si>
    <t xml:space="preserve">Each has its own document set.</t>
  </si>
  <si>
    <t xml:space="preserve">CERSAI / ROC / sub-registrar charge filing required?</t>
  </si>
  <si>
    <t xml:space="preserve">Adds external filing workflow.</t>
  </si>
  <si>
    <t xml:space="preserve">Stamp duty handling: per-state matrix maintained?</t>
  </si>
  <si>
    <t xml:space="preserve">Often a separate config exercise.</t>
  </si>
  <si>
    <t xml:space="preserve">Insurance &amp; valuation requirements (frequency, vendor)?</t>
  </si>
  <si>
    <t xml:space="preserve">Periodic monitoring obligations.</t>
  </si>
  <si>
    <t xml:space="preserve">Covenant &amp; Periodic Monitoring</t>
  </si>
  <si>
    <t xml:space="preserve">Financial covenant monitoring (DSCR, leverage, interest cover) required?</t>
  </si>
  <si>
    <t xml:space="preserve">Periodic checks need data + alerts.</t>
  </si>
  <si>
    <t xml:space="preserve">Frequency of stock / debtor statements required?</t>
  </si>
  <si>
    <t xml:space="preserve">Adds periodic data collection workflow.</t>
  </si>
  <si>
    <t xml:space="preserve">Renewal / annual review cycle automation needed?</t>
  </si>
  <si>
    <t xml:space="preserve">Adds review workflow + reminders.</t>
  </si>
  <si>
    <t xml:space="preserve">Entity Origination Specifics</t>
  </si>
  <si>
    <t xml:space="preserve">Entity types served (Pvt Ltd / LLP / Partnership / Sole Prop / Trust / HUF / Society).</t>
  </si>
  <si>
    <t xml:space="preserve">Each entity type changes KYC and document set.</t>
  </si>
  <si>
    <t xml:space="preserve">Group / related party assessment workflow needed?</t>
  </si>
  <si>
    <t xml:space="preserve">Common for SME/Corporate; affects credit memo.</t>
  </si>
  <si>
    <t xml:space="preserve">Beneficial ownership / UBO declaration capture?</t>
  </si>
  <si>
    <t xml:space="preserve">RBI / FATCA / CRS implications.</t>
  </si>
  <si>
    <t xml:space="preserve">Financial &amp; Credit Analytics</t>
  </si>
  <si>
    <t xml:space="preserve">Financial statement analysis (last N years audited financials)?</t>
  </si>
  <si>
    <t xml:space="preserve">Adds spread-sheet / OCR pipeline.</t>
  </si>
  <si>
    <t xml:space="preserve">CMA data ingestion required?</t>
  </si>
  <si>
    <t xml:space="preserve">Common for working capital and TL.</t>
  </si>
  <si>
    <t xml:space="preserve">Banking analytics / GST analytics integration vendor?</t>
  </si>
  <si>
    <t xml:space="preserve">Vendor-led integration.</t>
  </si>
  <si>
    <t xml:space="preserve">DSCR / cash-flow projection computation in tool?</t>
  </si>
  <si>
    <t xml:space="preserve">Calc engine vs. manual upload.</t>
  </si>
  <si>
    <t xml:space="preserve">Credit Decisioning &amp; Approval</t>
  </si>
  <si>
    <t xml:space="preserve">Credit memo template + variables.</t>
  </si>
  <si>
    <t xml:space="preserve">Each variable maps to data points to capture.</t>
  </si>
  <si>
    <t xml:space="preserve">Committee approval workflow (RM → Credit → Sanctioning Committee → Board)?</t>
  </si>
  <si>
    <t xml:space="preserve">Multi-step approval engine + delegation.</t>
  </si>
  <si>
    <t xml:space="preserve">Voting / quorum rules for committee?</t>
  </si>
  <si>
    <t xml:space="preserve">Influences workflow design.</t>
  </si>
  <si>
    <t xml:space="preserve">Deviation / waiver tracking required?</t>
  </si>
  <si>
    <t xml:space="preserve">Audit and reporting need.</t>
  </si>
  <si>
    <t xml:space="preserve">Documentation</t>
  </si>
  <si>
    <t xml:space="preserve">Sanction letter / facility agreement templates count and variants.</t>
  </si>
  <si>
    <t xml:space="preserve">Each variant needs review.</t>
  </si>
  <si>
    <t xml:space="preserve">Personal guarantee / corporate guarantee documents in scope?</t>
  </si>
  <si>
    <t xml:space="preserve">Adds to document workflow.</t>
  </si>
  <si>
    <t xml:space="preserve">Standard term sheet generation?</t>
  </si>
  <si>
    <t xml:space="preserve">Pre-sanction commitment workflow.</t>
  </si>
  <si>
    <t xml:space="preserve">Roles &amp; Hierarchy</t>
  </si>
  <si>
    <t xml:space="preserve">Provide role taxonomy (role name, description) and approximate user count per role.</t>
  </si>
  <si>
    <t xml:space="preserve">Foundation for RBAC configuration.</t>
  </si>
  <si>
    <t xml:space="preserve">Org hierarchy depth (e.g., RM → BM → Cluster → Zonal → National).</t>
  </si>
  <si>
    <t xml:space="preserve">Drives data scoping.</t>
  </si>
  <si>
    <t xml:space="preserve">Branch / region / state granularity for access scoping.</t>
  </si>
  <si>
    <t xml:space="preserve">Geo scope must be modelled in role design.</t>
  </si>
  <si>
    <t xml:space="preserve">Concurrent active user count expected at peak.</t>
  </si>
  <si>
    <t xml:space="preserve">Sets license model and infra sizing.</t>
  </si>
  <si>
    <t xml:space="preserve">Named-user vs. concurrent-user license model preference?</t>
  </si>
  <si>
    <t xml:space="preserve">Commercial implication.</t>
  </si>
  <si>
    <t xml:space="preserve">Permissions &amp; Data Access</t>
  </si>
  <si>
    <t xml:space="preserve">Field-level permissions needed (e.g., mask PAN, hide disbursed amount)?</t>
  </si>
  <si>
    <t xml:space="preserve">Adds field-level visibility config.</t>
  </si>
  <si>
    <t xml:space="preserve">Data scope per role (own / team / branch / region / all).</t>
  </si>
  <si>
    <t xml:space="preserve">Drives row-level security.</t>
  </si>
  <si>
    <t xml:space="preserve">Time-bound or temporary access (audit, contract user)?</t>
  </si>
  <si>
    <t xml:space="preserve">Adds expiry &amp; approval workflow.</t>
  </si>
  <si>
    <t xml:space="preserve">Out-of-office delegation needed?</t>
  </si>
  <si>
    <t xml:space="preserve">Common in approval workflows.</t>
  </si>
  <si>
    <t xml:space="preserve">Self-service password reset / unlock?</t>
  </si>
  <si>
    <t xml:space="preserve">Reduces helpdesk load.</t>
  </si>
  <si>
    <t xml:space="preserve">External Users</t>
  </si>
  <si>
    <t xml:space="preserve">Partner / DSA portal users — count and roles.</t>
  </si>
  <si>
    <t xml:space="preserve">Separate auth + data isolation.</t>
  </si>
  <si>
    <t xml:space="preserve">Customer-facing logins required at launch?</t>
  </si>
  <si>
    <t xml:space="preserve">Self-service portal scope.</t>
  </si>
  <si>
    <t xml:space="preserve">Service / API integration users (system accounts)?</t>
  </si>
  <si>
    <t xml:space="preserve">Token rotation, scopes, audit.</t>
  </si>
  <si>
    <t xml:space="preserve">Maker-Checker Coverage</t>
  </si>
  <si>
    <t xml:space="preserve">List actions that must go through maker-checker (loan creation / disbursement / fee waiver / etc.).</t>
  </si>
  <si>
    <t xml:space="preserve">Determines which workflows have approval queues.</t>
  </si>
  <si>
    <t xml:space="preserve">Number of approval levels per action type (1 / 2 / 3 / variable by amount).</t>
  </si>
  <si>
    <t xml:space="preserve">Drives matrix complexity.</t>
  </si>
  <si>
    <t xml:space="preserve">Approval matrix dimensions (amount, product, branch, risk grade).</t>
  </si>
  <si>
    <t xml:space="preserve">Multi-dimensional matrices add config time.</t>
  </si>
  <si>
    <t xml:space="preserve">Auto-approve thresholds (e.g., &lt; ₹X auto-approves)?</t>
  </si>
  <si>
    <t xml:space="preserve">Adds rule engine integration.</t>
  </si>
  <si>
    <t xml:space="preserve">SLA, Escalation &amp; Audit</t>
  </si>
  <si>
    <t xml:space="preserve">SLA per approval level + auto-escalation behaviour?</t>
  </si>
  <si>
    <t xml:space="preserve">Notification + reassignment logic.</t>
  </si>
  <si>
    <t xml:space="preserve">Out-of-office / delegation mechanism?</t>
  </si>
  <si>
    <t xml:space="preserve">Required for continuity.</t>
  </si>
  <si>
    <t xml:space="preserve">Audit trail granularity (before/after value, actor, IP, timestamp).</t>
  </si>
  <si>
    <t xml:space="preserve">Compliance / forensic requirement.</t>
  </si>
  <si>
    <t xml:space="preserve">Bulk actions also under maker-checker?</t>
  </si>
  <si>
    <t xml:space="preserve">Often missed; needs explicit decision.</t>
  </si>
  <si>
    <t xml:space="preserve">Reason codes / comments mandatory at approval / rejection?</t>
  </si>
  <si>
    <t xml:space="preserve">Adds dropdown master + validation.</t>
  </si>
  <si>
    <t xml:space="preserve">Bulk Use Cases</t>
  </si>
  <si>
    <t xml:space="preserve">Bulk upload of leads / applicants?</t>
  </si>
  <si>
    <t xml:space="preserve">Defines lead-import job.</t>
  </si>
  <si>
    <t xml:space="preserve">Bulk upload of customers / dealers / anchors (SCF)?</t>
  </si>
  <si>
    <t xml:space="preserve">Counterparty bulk onboarding.</t>
  </si>
  <si>
    <t xml:space="preserve">Bulk approval / rejection of applications?</t>
  </si>
  <si>
    <t xml:space="preserve">Common for high-volume retail.</t>
  </si>
  <si>
    <t xml:space="preserve">Bulk disbursement file processing?</t>
  </si>
  <si>
    <t xml:space="preserve">Treasury / payout integration.</t>
  </si>
  <si>
    <t xml:space="preserve">Bulk repayment posting (collections file)?</t>
  </si>
  <si>
    <t xml:space="preserve">End-of-day posting flow.</t>
  </si>
  <si>
    <t xml:space="preserve">Bulk limit setup / revision (SCF)?</t>
  </si>
  <si>
    <t xml:space="preserve">Anchor-driven limit refresh.</t>
  </si>
  <si>
    <t xml:space="preserve">Bulk document upload (DMS bulk push)?</t>
  </si>
  <si>
    <t xml:space="preserve">DMS integration sizing.</t>
  </si>
  <si>
    <t xml:space="preserve">Bulk waiver / fee adjustment?</t>
  </si>
  <si>
    <t xml:space="preserve">Frequent in collections.</t>
  </si>
  <si>
    <t xml:space="preserve">Volumes &amp; Format</t>
  </si>
  <si>
    <t xml:space="preserve">Largest expected file size (rows / MB) per bulk operation.</t>
  </si>
  <si>
    <t xml:space="preserve">Drives async vs. sync design.</t>
  </si>
  <si>
    <t xml:space="preserve">Acceptable file formats (CSV / XLSX / JSON / fixed-width).</t>
  </si>
  <si>
    <t xml:space="preserve">Affects parser and validation.</t>
  </si>
  <si>
    <t xml:space="preserve">Frequency of bulk ops (real-time / hourly / daily / EOD / ad-hoc).</t>
  </si>
  <si>
    <t xml:space="preserve">Drives batch scheduler design.</t>
  </si>
  <si>
    <t xml:space="preserve">Maker-checker on bulk uploads?</t>
  </si>
  <si>
    <t xml:space="preserve">Adds approval step before commit.</t>
  </si>
  <si>
    <t xml:space="preserve">Error file format &amp; re-upload mechanism required?</t>
  </si>
  <si>
    <t xml:space="preserve">Improves operability.</t>
  </si>
  <si>
    <t xml:space="preserve">API Strategy</t>
  </si>
  <si>
    <t xml:space="preserve">List inbound APIs Crego must expose (with consumers).</t>
  </si>
  <si>
    <t xml:space="preserve">API contract definition is critical-path.</t>
  </si>
  <si>
    <t xml:space="preserve">List outbound APIs Crego must consume (vendor + purpose).</t>
  </si>
  <si>
    <t xml:space="preserve">Vendor sandbox availability is a risk.</t>
  </si>
  <si>
    <t xml:space="preserve">Auth mechanism preference (OAuth2 / API key / mTLS / JWT).</t>
  </si>
  <si>
    <t xml:space="preserve">Affects gateway and onboarding.</t>
  </si>
  <si>
    <t xml:space="preserve">Rate limits / throughput SLAs per consumer.</t>
  </si>
  <si>
    <t xml:space="preserve">Capacity planning input.</t>
  </si>
  <si>
    <t xml:space="preserve">Webhook events Crego must emit (list).</t>
  </si>
  <si>
    <t xml:space="preserve">Drives event design + retry/DLQ.</t>
  </si>
  <si>
    <t xml:space="preserve">Integrations Inventory</t>
  </si>
  <si>
    <t xml:space="preserve">Bureau (CIBIL / Experian / Equifax / CRIF) — which, who holds the contract?</t>
  </si>
  <si>
    <t xml:space="preserve">Each bureau has its own implementation effort.</t>
  </si>
  <si>
    <t xml:space="preserve">KYC vendors (Karza / Signzy / IDfy / HyperVerge / NSDL / other)?</t>
  </si>
  <si>
    <t xml:space="preserve">Vendor lead time often gates UAT.</t>
  </si>
  <si>
    <t xml:space="preserve">E-sign vendor (Leegality / Protean / DocuSign / Adobe)?</t>
  </si>
  <si>
    <t xml:space="preserve">Affects legal &amp; journey.</t>
  </si>
  <si>
    <t xml:space="preserve">E-mandate / NACH (NPCI Net / vendor TSP)?</t>
  </si>
  <si>
    <t xml:space="preserve">Mandate provisioning takes weeks.</t>
  </si>
  <si>
    <t xml:space="preserve">Payment gateway / payout (Razorpay / Cashfree / partner bank)?</t>
  </si>
  <si>
    <t xml:space="preserve">Affects disbursement &amp; repayment.</t>
  </si>
  <si>
    <t xml:space="preserve">Account Aggregator integration &amp; TSP/FIU registration status.</t>
  </si>
  <si>
    <t xml:space="preserve">AA workflow has its own consent path.</t>
  </si>
  <si>
    <t xml:space="preserve">Video KYC vendor (in-house / partner)?</t>
  </si>
  <si>
    <t xml:space="preserve">Required for certain RBI use cases.</t>
  </si>
  <si>
    <t xml:space="preserve">Fraud / Hunter (NHFIN / Experian Hunter / other)?</t>
  </si>
  <si>
    <t xml:space="preserve">Adds underwriting integration.</t>
  </si>
  <si>
    <t xml:space="preserve">CBS / core banking integration (which CBS, what scope)?</t>
  </si>
  <si>
    <t xml:space="preserve">High effort; varies wildly by CBS.</t>
  </si>
  <si>
    <t xml:space="preserve">DMS / document storage (in-house / Newgen / OmniDocs / other)?</t>
  </si>
  <si>
    <t xml:space="preserve">Affects document-write path.</t>
  </si>
  <si>
    <t xml:space="preserve">Communication (SMS / WhatsApp / Email / IVR vendors)?</t>
  </si>
  <si>
    <t xml:space="preserve">DLT / template approvals add lead time.</t>
  </si>
  <si>
    <t xml:space="preserve">BI / data warehouse / analytics (Power BI / Tableau / Metabase / Snowflake / Redshift / other)?</t>
  </si>
  <si>
    <t xml:space="preserve">Scopes ETL + access pattern.</t>
  </si>
  <si>
    <t xml:space="preserve">Ticketing / CRM (Freshdesk / Zoho / Salesforce / other)?</t>
  </si>
  <si>
    <t xml:space="preserve">Grievance + ops integration.</t>
  </si>
  <si>
    <t xml:space="preserve">Regulatory &amp; Frameworks</t>
  </si>
  <si>
    <t xml:space="preserve">Primary regulator(s) — RBI / SEBI / IRDAI / international?</t>
  </si>
  <si>
    <t xml:space="preserve">Determines applicable controls.</t>
  </si>
  <si>
    <t xml:space="preserve">Entity type (NBFC / Bank / Co-op / HFC / Fintech LSP / other) + license details.</t>
  </si>
  <si>
    <t xml:space="preserve">Drives prudential reporting and audit requirements.</t>
  </si>
  <si>
    <t xml:space="preserve">RBI Digital Lending Guidelines applicability and any exemptions?</t>
  </si>
  <si>
    <t xml:space="preserve">Critical compliance gate.</t>
  </si>
  <si>
    <t xml:space="preserve">DPDP / GDPR applicability?</t>
  </si>
  <si>
    <t xml:space="preserve">Privacy controls and DSR workflows.</t>
  </si>
  <si>
    <t xml:space="preserve">PCI DSS scope (storing / processing card data)?</t>
  </si>
  <si>
    <t xml:space="preserve">Determines PCI environment scope.</t>
  </si>
  <si>
    <t xml:space="preserve">ISO 27001 / SOC 2 evidence required at go-live?</t>
  </si>
  <si>
    <t xml:space="preserve">Adds artefact + control evidence work.</t>
  </si>
  <si>
    <t xml:space="preserve">Security Controls</t>
  </si>
  <si>
    <t xml:space="preserve">Encryption at rest / in transit standards &amp; KMS preference.</t>
  </si>
  <si>
    <t xml:space="preserve">Customer-managed vs. provider-managed keys.</t>
  </si>
  <si>
    <t xml:space="preserve">Data residency requirements (India / region / specific country).</t>
  </si>
  <si>
    <t xml:space="preserve">Constrains hosting region.</t>
  </si>
  <si>
    <t xml:space="preserve">Single-tenant vs. multi-tenant deployment requirement?</t>
  </si>
  <si>
    <t xml:space="preserve">Big architectural decision.</t>
  </si>
  <si>
    <t xml:space="preserve">VAPT cadence and last-test report availability?</t>
  </si>
  <si>
    <t xml:space="preserve">Sets pre-go-live security pass.</t>
  </si>
  <si>
    <t xml:space="preserve">Audit logging retention period.</t>
  </si>
  <si>
    <t xml:space="preserve">Storage &amp; WORM requirements.</t>
  </si>
  <si>
    <t xml:space="preserve">DR strategy — RTO / RPO targets.</t>
  </si>
  <si>
    <t xml:space="preserve">Drives DR design and rehearsal.</t>
  </si>
  <si>
    <t xml:space="preserve">Backup retention and restore test cadence.</t>
  </si>
  <si>
    <t xml:space="preserve">Compliance + operational requirement.</t>
  </si>
  <si>
    <t xml:space="preserve">Whistleblower / Sachet / Ombudsman integration?</t>
  </si>
  <si>
    <t xml:space="preserve">RBI directive compliance.</t>
  </si>
  <si>
    <t xml:space="preserve">Privacy &amp; Consent</t>
  </si>
  <si>
    <t xml:space="preserve">Consent capture for each downstream sharing (bureau, AA, KYC vendor)?</t>
  </si>
  <si>
    <t xml:space="preserve">Required by DPDP and RBI DLG.</t>
  </si>
  <si>
    <t xml:space="preserve">Right-to-erasure / data subject request workflow?</t>
  </si>
  <si>
    <t xml:space="preserve">DPDP requirement.</t>
  </si>
  <si>
    <t xml:space="preserve">Cookie / privacy notice published on customer journey?</t>
  </si>
  <si>
    <t xml:space="preserve">Standard but easy to miss.</t>
  </si>
  <si>
    <t xml:space="preserve">Source Inventory</t>
  </si>
  <si>
    <t xml:space="preserve">List source systems and modules to migrate from.</t>
  </si>
  <si>
    <t xml:space="preserve">Each source has unique extract effort.</t>
  </si>
  <si>
    <t xml:space="preserve">Available export formats (DB dump / API / files).</t>
  </si>
  <si>
    <t xml:space="preserve">Drives ETL approach.</t>
  </si>
  <si>
    <t xml:space="preserve">Volume by entity (leads / customers / loans active / closed / documents).</t>
  </si>
  <si>
    <t xml:space="preserve">Sizes migration effort.</t>
  </si>
  <si>
    <t xml:space="preserve">Strategy</t>
  </si>
  <si>
    <t xml:space="preserve">Cutover strategy (parallel run / phased / big-bang).</t>
  </si>
  <si>
    <t xml:space="preserve">Defines risk profile.</t>
  </si>
  <si>
    <t xml:space="preserve">Reconciliation approach and acceptance criteria for cut-over?</t>
  </si>
  <si>
    <t xml:space="preserve">Critical for sign-off.</t>
  </si>
  <si>
    <t xml:space="preserve">Number of mock-migration cycles planned?</t>
  </si>
  <si>
    <t xml:space="preserve">Quality of migration depends on iterations.</t>
  </si>
  <si>
    <t xml:space="preserve">Document migration scope (active loans only / full archive)?</t>
  </si>
  <si>
    <t xml:space="preserve">DMS storage and indexing.</t>
  </si>
  <si>
    <t xml:space="preserve">Customer master deduplication required?</t>
  </si>
  <si>
    <t xml:space="preserve">PII matching adds effort.</t>
  </si>
  <si>
    <t xml:space="preserve">Open ticket / case migration?</t>
  </si>
  <si>
    <t xml:space="preserve">Continuity of customer service.</t>
  </si>
  <si>
    <t xml:space="preserve">Historical reporting in new system or kept in legacy (read-only)?</t>
  </si>
  <si>
    <t xml:space="preserve">Often the cheapest path is dual-system.</t>
  </si>
  <si>
    <t xml:space="preserve">Standard MIS</t>
  </si>
  <si>
    <t xml:space="preserve">List standard MIS reports needed at go-live with frequency.</t>
  </si>
  <si>
    <t xml:space="preserve">Each report has design + data work.</t>
  </si>
  <si>
    <t xml:space="preserve">Regulatory reports (CRILC / CIC / PSL / FLDG / NHB / other) in scope?</t>
  </si>
  <si>
    <t xml:space="preserve">Each has fixed format and submission path.</t>
  </si>
  <si>
    <t xml:space="preserve">Statutory schedules (RBI Returns / SLR / CRR feeders / RoC) required?</t>
  </si>
  <si>
    <t xml:space="preserve">Limited to certain entity types.</t>
  </si>
  <si>
    <t xml:space="preserve">Dashboards &amp; BI</t>
  </si>
  <si>
    <t xml:space="preserve">Custom role-based dashboards required?</t>
  </si>
  <si>
    <t xml:space="preserve">Adds dashboard composition + access work.</t>
  </si>
  <si>
    <t xml:space="preserve">Real-time vs. T+1 freshness expectation per dashboard.</t>
  </si>
  <si>
    <t xml:space="preserve">Drives data layer (OLTP vs. warehouse).</t>
  </si>
  <si>
    <t xml:space="preserve">BI tool of choice (native Crego / Power BI / Tableau / Metabase / Looker)?</t>
  </si>
  <si>
    <t xml:space="preserve">Affects data export pipeline.</t>
  </si>
  <si>
    <t xml:space="preserve">Scheduled email reports needed?</t>
  </si>
  <si>
    <t xml:space="preserve">Adds report scheduler.</t>
  </si>
  <si>
    <t xml:space="preserve">Data export rights (CSV / API / direct DB / read replica)?</t>
  </si>
  <si>
    <t xml:space="preserve">Implications for security.</t>
  </si>
  <si>
    <t xml:space="preserve">Environments &amp; Releases</t>
  </si>
  <si>
    <t xml:space="preserve">Environments needed (dev / QA / pre-prod / prod / DR)?</t>
  </si>
  <si>
    <t xml:space="preserve">Each environment has cost + setup time.</t>
  </si>
  <si>
    <t xml:space="preserve">Pre-prod environment refresh frequency from prod?</t>
  </si>
  <si>
    <t xml:space="preserve">Affects support workflow.</t>
  </si>
  <si>
    <t xml:space="preserve">UAT environment users + duration?</t>
  </si>
  <si>
    <t xml:space="preserve">Sets license &amp; support window.</t>
  </si>
  <si>
    <t xml:space="preserve">Code freeze and cutover window dates?</t>
  </si>
  <si>
    <t xml:space="preserve">Anchors release plan.</t>
  </si>
  <si>
    <t xml:space="preserve">Training &amp; Change</t>
  </si>
  <si>
    <t xml:space="preserve">Training delivery preference (in-person / remote / TTT / e-learning)?</t>
  </si>
  <si>
    <t xml:space="preserve">Affects content + travel cost.</t>
  </si>
  <si>
    <t xml:space="preserve">Number of users to be trained (by role)?</t>
  </si>
  <si>
    <t xml:space="preserve">Sizes training load.</t>
  </si>
  <si>
    <t xml:space="preserve">Training material languages?</t>
  </si>
  <si>
    <t xml:space="preserve">Localization effort.</t>
  </si>
  <si>
    <t xml:space="preserve">Internal change management owner identified?</t>
  </si>
  <si>
    <t xml:space="preserve">Adoption risk.</t>
  </si>
  <si>
    <t xml:space="preserve">Hypercare &amp; Support</t>
  </si>
  <si>
    <t xml:space="preserve">Hypercare duration &amp; coverage (24x7 / business hours)?</t>
  </si>
  <si>
    <t xml:space="preserve">Cost &amp; rota implications.</t>
  </si>
  <si>
    <t xml:space="preserve">Production support model post-hypercare (Crego managed / shared / client)?</t>
  </si>
  <si>
    <t xml:space="preserve">Defines run-cost.</t>
  </si>
  <si>
    <t xml:space="preserve">Severity definition and SLA expectations (P1/P2/P3/P4)?</t>
  </si>
  <si>
    <t xml:space="preserve">Anchors support contract.</t>
  </si>
  <si>
    <t xml:space="preserve">Production access policy for Crego support (read-only / break-glass / time-bound)?</t>
  </si>
  <si>
    <t xml:space="preserve">Affects support efficiency vs. risk.</t>
  </si>
  <si>
    <t xml:space="preserve">Scoping Summary — auto-aggregated</t>
  </si>
  <si>
    <t xml:space="preserve">Counts update automatically as you fill in answers, priorities, and blocker flags across the workbook.</t>
  </si>
  <si>
    <t xml:space="preserve">Total Questions</t>
  </si>
  <si>
    <t xml:space="preserve">Answered</t>
  </si>
  <si>
    <t xml:space="preserve">Blockers (Yes)</t>
  </si>
  <si>
    <t xml:space="preserve">Must-Have</t>
  </si>
  <si>
    <t xml:space="preserve">Completeness %</t>
  </si>
  <si>
    <t xml:space="preserve">TOTAL</t>
  </si>
  <si>
    <t xml:space="preserve">Risk readout</t>
  </si>
  <si>
    <t xml:space="preserve">If Blockers (Yes) &gt; 0 in any sheet, list them in the engagement risk register before estimating.</t>
  </si>
  <si>
    <t xml:space="preserve">If Completeness &lt; 60% on a sheet for a module that's in-scope, schedule a follow-up before sizing the SOW.</t>
  </si>
  <si>
    <t xml:space="preserve">Must-Have answers feed directly into the MVP scope; Should / Nice items are negotiable for Phase 2.</t>
  </si>
  <si>
    <t xml:space="preserve">Re-run this scoping pass after every major requirement workshop and version the workbook.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</si>
</sst>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864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305496"/>
        <bgColor rgb="FF1F3864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8" min="4" style="0" width="4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24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21.75" hidden="false" customHeight="true" outlineLevel="0" collapsed="false">
      <c r="B6" s="4" t="s">
        <v>3</v>
      </c>
      <c r="C6" s="5"/>
      <c r="D6" s="5"/>
      <c r="E6" s="5"/>
      <c r="F6" s="5"/>
      <c r="G6" s="5"/>
    </row>
    <row r="7" customFormat="false" ht="21.75" hidden="false" customHeight="true" outlineLevel="0" collapsed="false">
      <c r="B7" s="4" t="s">
        <v>4</v>
      </c>
      <c r="C7" s="5"/>
      <c r="D7" s="5"/>
      <c r="E7" s="5"/>
      <c r="F7" s="5"/>
      <c r="G7" s="5"/>
    </row>
    <row r="8" customFormat="false" ht="21.75" hidden="false" customHeight="true" outlineLevel="0" collapsed="false">
      <c r="B8" s="4" t="s">
        <v>5</v>
      </c>
      <c r="C8" s="5"/>
      <c r="D8" s="5"/>
      <c r="E8" s="5"/>
      <c r="F8" s="5"/>
      <c r="G8" s="5"/>
    </row>
    <row r="9" customFormat="false" ht="21.75" hidden="false" customHeight="true" outlineLevel="0" collapsed="false">
      <c r="B9" s="4" t="s">
        <v>6</v>
      </c>
      <c r="C9" s="5"/>
      <c r="D9" s="5"/>
      <c r="E9" s="5"/>
      <c r="F9" s="5"/>
      <c r="G9" s="5"/>
    </row>
    <row r="10" customFormat="false" ht="21.75" hidden="false" customHeight="true" outlineLevel="0" collapsed="false">
      <c r="B10" s="4" t="s">
        <v>7</v>
      </c>
      <c r="C10" s="5"/>
      <c r="D10" s="5"/>
      <c r="E10" s="5"/>
      <c r="F10" s="5"/>
      <c r="G10" s="5"/>
    </row>
    <row r="11" customFormat="false" ht="21.75" hidden="false" customHeight="true" outlineLevel="0" collapsed="false">
      <c r="B11" s="4" t="s">
        <v>8</v>
      </c>
      <c r="C11" s="5"/>
      <c r="D11" s="5"/>
      <c r="E11" s="5"/>
      <c r="F11" s="5"/>
      <c r="G11" s="5"/>
    </row>
    <row r="12" customFormat="false" ht="21.75" hidden="false" customHeight="true" outlineLevel="0" collapsed="false">
      <c r="B12" s="4" t="s">
        <v>9</v>
      </c>
      <c r="C12" s="5"/>
      <c r="D12" s="5"/>
      <c r="E12" s="5"/>
      <c r="F12" s="5"/>
      <c r="G12" s="5"/>
    </row>
    <row r="13" customFormat="false" ht="21.75" hidden="false" customHeight="true" outlineLevel="0" collapsed="false">
      <c r="B13" s="4" t="s">
        <v>10</v>
      </c>
      <c r="C13" s="5" t="s">
        <v>11</v>
      </c>
      <c r="D13" s="5"/>
      <c r="E13" s="5"/>
      <c r="F13" s="5"/>
      <c r="G13" s="5"/>
    </row>
    <row r="14" customFormat="false" ht="21.75" hidden="false" customHeight="true" outlineLevel="0" collapsed="false">
      <c r="B14" s="4" t="s">
        <v>12</v>
      </c>
      <c r="C14" s="5"/>
      <c r="D14" s="5"/>
      <c r="E14" s="5"/>
      <c r="F14" s="5"/>
      <c r="G14" s="5"/>
    </row>
    <row r="16" customFormat="false" ht="24" hidden="false" customHeight="true" outlineLevel="0" collapsed="false">
      <c r="B16" s="3" t="s">
        <v>13</v>
      </c>
      <c r="C16" s="3"/>
      <c r="D16" s="3"/>
      <c r="E16" s="3"/>
      <c r="F16" s="3"/>
      <c r="G16" s="3"/>
    </row>
    <row r="17" customFormat="false" ht="30" hidden="false" customHeight="true" outlineLevel="0" collapsed="false">
      <c r="B17" s="5" t="s">
        <v>14</v>
      </c>
      <c r="C17" s="5"/>
      <c r="D17" s="5"/>
      <c r="E17" s="5"/>
      <c r="F17" s="5"/>
      <c r="G17" s="5"/>
    </row>
    <row r="18" customFormat="false" ht="30" hidden="false" customHeight="true" outlineLevel="0" collapsed="false">
      <c r="B18" s="5" t="s">
        <v>15</v>
      </c>
      <c r="C18" s="5"/>
      <c r="D18" s="5"/>
      <c r="E18" s="5"/>
      <c r="F18" s="5"/>
      <c r="G18" s="5"/>
    </row>
    <row r="19" customFormat="false" ht="30" hidden="false" customHeight="true" outlineLevel="0" collapsed="false">
      <c r="B19" s="5" t="s">
        <v>16</v>
      </c>
      <c r="C19" s="5"/>
      <c r="D19" s="5"/>
      <c r="E19" s="5"/>
      <c r="F19" s="5"/>
      <c r="G19" s="5"/>
    </row>
    <row r="20" customFormat="false" ht="30" hidden="false" customHeight="true" outlineLevel="0" collapsed="false">
      <c r="B20" s="5" t="s">
        <v>17</v>
      </c>
      <c r="C20" s="5"/>
      <c r="D20" s="5"/>
      <c r="E20" s="5"/>
      <c r="F20" s="5"/>
      <c r="G20" s="5"/>
    </row>
    <row r="21" customFormat="false" ht="30" hidden="false" customHeight="true" outlineLevel="0" collapsed="false">
      <c r="B21" s="5" t="s">
        <v>18</v>
      </c>
      <c r="C21" s="5"/>
      <c r="D21" s="5"/>
      <c r="E21" s="5"/>
      <c r="F21" s="5"/>
      <c r="G21" s="5"/>
    </row>
    <row r="22" customFormat="false" ht="30" hidden="false" customHeight="true" outlineLevel="0" collapsed="false">
      <c r="B22" s="5" t="s">
        <v>19</v>
      </c>
      <c r="C22" s="5"/>
      <c r="D22" s="5"/>
      <c r="E22" s="5"/>
      <c r="F22" s="5"/>
      <c r="G22" s="5"/>
    </row>
    <row r="24" customFormat="false" ht="24" hidden="false" customHeight="true" outlineLevel="0" collapsed="false">
      <c r="B24" s="3" t="s">
        <v>20</v>
      </c>
      <c r="C24" s="3"/>
      <c r="D24" s="3"/>
      <c r="E24" s="3"/>
      <c r="F24" s="3"/>
      <c r="G24" s="3"/>
    </row>
    <row r="25" customFormat="false" ht="19.5" hidden="false" customHeight="true" outlineLevel="0" collapsed="false">
      <c r="B25" s="6" t="s">
        <v>21</v>
      </c>
      <c r="C25" s="6" t="s">
        <v>22</v>
      </c>
      <c r="D25" s="6"/>
      <c r="E25" s="6"/>
      <c r="F25" s="6"/>
      <c r="G25" s="6"/>
    </row>
    <row r="26" customFormat="false" ht="27.75" hidden="false" customHeight="true" outlineLevel="0" collapsed="false">
      <c r="B26" s="7" t="s">
        <v>23</v>
      </c>
      <c r="C26" s="5" t="s">
        <v>24</v>
      </c>
      <c r="D26" s="5"/>
      <c r="E26" s="5"/>
      <c r="F26" s="5"/>
      <c r="G26" s="5"/>
    </row>
    <row r="27" customFormat="false" ht="27.75" hidden="false" customHeight="true" outlineLevel="0" collapsed="false">
      <c r="B27" s="7" t="s">
        <v>25</v>
      </c>
      <c r="C27" s="5" t="s">
        <v>26</v>
      </c>
      <c r="D27" s="5"/>
      <c r="E27" s="5"/>
      <c r="F27" s="5"/>
      <c r="G27" s="5"/>
    </row>
    <row r="28" customFormat="false" ht="27.75" hidden="false" customHeight="true" outlineLevel="0" collapsed="false">
      <c r="B28" s="7" t="s">
        <v>27</v>
      </c>
      <c r="C28" s="5" t="s">
        <v>28</v>
      </c>
      <c r="D28" s="5"/>
      <c r="E28" s="5"/>
      <c r="F28" s="5"/>
      <c r="G28" s="5"/>
    </row>
    <row r="29" customFormat="false" ht="27.75" hidden="false" customHeight="true" outlineLevel="0" collapsed="false">
      <c r="B29" s="7" t="s">
        <v>29</v>
      </c>
      <c r="C29" s="5" t="s">
        <v>30</v>
      </c>
      <c r="D29" s="5"/>
      <c r="E29" s="5"/>
      <c r="F29" s="5"/>
      <c r="G29" s="5"/>
    </row>
    <row r="30" customFormat="false" ht="27.75" hidden="false" customHeight="true" outlineLevel="0" collapsed="false">
      <c r="B30" s="7" t="s">
        <v>31</v>
      </c>
      <c r="C30" s="5" t="s">
        <v>32</v>
      </c>
      <c r="D30" s="5"/>
      <c r="E30" s="5"/>
      <c r="F30" s="5"/>
      <c r="G30" s="5"/>
    </row>
    <row r="31" customFormat="false" ht="27.75" hidden="false" customHeight="true" outlineLevel="0" collapsed="false">
      <c r="B31" s="7" t="s">
        <v>33</v>
      </c>
      <c r="C31" s="5" t="s">
        <v>34</v>
      </c>
      <c r="D31" s="5"/>
      <c r="E31" s="5"/>
      <c r="F31" s="5"/>
      <c r="G31" s="5"/>
    </row>
    <row r="32" customFormat="false" ht="27.75" hidden="false" customHeight="true" outlineLevel="0" collapsed="false">
      <c r="B32" s="7" t="s">
        <v>35</v>
      </c>
      <c r="C32" s="5" t="s">
        <v>36</v>
      </c>
      <c r="D32" s="5"/>
      <c r="E32" s="5"/>
      <c r="F32" s="5"/>
      <c r="G32" s="5"/>
    </row>
    <row r="33" customFormat="false" ht="27.75" hidden="false" customHeight="true" outlineLevel="0" collapsed="false">
      <c r="B33" s="7" t="s">
        <v>37</v>
      </c>
      <c r="C33" s="5" t="s">
        <v>38</v>
      </c>
      <c r="D33" s="5"/>
      <c r="E33" s="5"/>
      <c r="F33" s="5"/>
      <c r="G33" s="5"/>
    </row>
    <row r="34" customFormat="false" ht="27.75" hidden="false" customHeight="true" outlineLevel="0" collapsed="false">
      <c r="B34" s="7" t="s">
        <v>39</v>
      </c>
      <c r="C34" s="5" t="s">
        <v>40</v>
      </c>
      <c r="D34" s="5"/>
      <c r="E34" s="5"/>
      <c r="F34" s="5"/>
      <c r="G34" s="5"/>
    </row>
    <row r="35" customFormat="false" ht="27.75" hidden="false" customHeight="true" outlineLevel="0" collapsed="false">
      <c r="B35" s="7" t="s">
        <v>41</v>
      </c>
      <c r="C35" s="5" t="s">
        <v>42</v>
      </c>
      <c r="D35" s="5"/>
      <c r="E35" s="5"/>
      <c r="F35" s="5"/>
      <c r="G35" s="5"/>
    </row>
    <row r="36" customFormat="false" ht="27.75" hidden="false" customHeight="true" outlineLevel="0" collapsed="false">
      <c r="B36" s="7" t="s">
        <v>43</v>
      </c>
      <c r="C36" s="5" t="s">
        <v>44</v>
      </c>
      <c r="D36" s="5"/>
      <c r="E36" s="5"/>
      <c r="F36" s="5"/>
      <c r="G36" s="5"/>
    </row>
    <row r="37" customFormat="false" ht="27.75" hidden="false" customHeight="true" outlineLevel="0" collapsed="false">
      <c r="B37" s="7" t="s">
        <v>45</v>
      </c>
      <c r="C37" s="5" t="s">
        <v>46</v>
      </c>
      <c r="D37" s="5"/>
      <c r="E37" s="5"/>
      <c r="F37" s="5"/>
      <c r="G37" s="5"/>
    </row>
    <row r="38" customFormat="false" ht="27.75" hidden="false" customHeight="true" outlineLevel="0" collapsed="false">
      <c r="B38" s="7" t="s">
        <v>47</v>
      </c>
      <c r="C38" s="5" t="s">
        <v>48</v>
      </c>
      <c r="D38" s="5"/>
      <c r="E38" s="5"/>
      <c r="F38" s="5"/>
      <c r="G38" s="5"/>
    </row>
    <row r="39" customFormat="false" ht="27.75" hidden="false" customHeight="true" outlineLevel="0" collapsed="false">
      <c r="B39" s="7" t="s">
        <v>49</v>
      </c>
      <c r="C39" s="5" t="s">
        <v>50</v>
      </c>
      <c r="D39" s="5"/>
      <c r="E39" s="5"/>
      <c r="F39" s="5"/>
      <c r="G39" s="5"/>
    </row>
    <row r="40" customFormat="false" ht="27.75" hidden="false" customHeight="true" outlineLevel="0" collapsed="false">
      <c r="B40" s="7" t="s">
        <v>51</v>
      </c>
      <c r="C40" s="5" t="s">
        <v>52</v>
      </c>
      <c r="D40" s="5"/>
      <c r="E40" s="5"/>
      <c r="F40" s="5"/>
      <c r="G40" s="5"/>
    </row>
  </sheetData>
  <mergeCells count="36">
    <mergeCell ref="B2:G2"/>
    <mergeCell ref="B3:G3"/>
    <mergeCell ref="B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B16:G16"/>
    <mergeCell ref="B17:G17"/>
    <mergeCell ref="B18:G18"/>
    <mergeCell ref="B19:G19"/>
    <mergeCell ref="B20:G20"/>
    <mergeCell ref="B21:G21"/>
    <mergeCell ref="B22:G22"/>
    <mergeCell ref="B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63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63</v>
      </c>
      <c r="C6" s="13" t="s">
        <v>64</v>
      </c>
      <c r="D6" s="13" t="s">
        <v>65</v>
      </c>
      <c r="E6" s="13" t="s">
        <v>66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63</v>
      </c>
      <c r="C7" s="15" t="s">
        <v>67</v>
      </c>
      <c r="D7" s="15" t="s">
        <v>68</v>
      </c>
      <c r="E7" s="15" t="s">
        <v>69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63</v>
      </c>
      <c r="C8" s="13" t="s">
        <v>70</v>
      </c>
      <c r="D8" s="13" t="s">
        <v>71</v>
      </c>
      <c r="E8" s="13" t="s">
        <v>66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63</v>
      </c>
      <c r="C9" s="15" t="s">
        <v>72</v>
      </c>
      <c r="D9" s="15" t="s">
        <v>73</v>
      </c>
      <c r="E9" s="15" t="s">
        <v>74</v>
      </c>
      <c r="F9" s="15"/>
      <c r="G9" s="15"/>
      <c r="H9" s="15"/>
      <c r="I9" s="15"/>
      <c r="J9" s="15"/>
    </row>
    <row r="10" customFormat="false" ht="42" hidden="false" customHeight="true" outlineLevel="0" collapsed="false">
      <c r="A10" s="12" t="n">
        <v>5</v>
      </c>
      <c r="B10" s="13" t="s">
        <v>63</v>
      </c>
      <c r="C10" s="13" t="s">
        <v>75</v>
      </c>
      <c r="D10" s="13" t="s">
        <v>76</v>
      </c>
      <c r="E10" s="13" t="s">
        <v>74</v>
      </c>
      <c r="F10" s="13"/>
      <c r="G10" s="13"/>
      <c r="H10" s="13"/>
      <c r="I10" s="13"/>
      <c r="J10" s="13"/>
    </row>
    <row r="11" customFormat="false" ht="42" hidden="false" customHeight="true" outlineLevel="0" collapsed="false">
      <c r="A11" s="14" t="n">
        <v>6</v>
      </c>
      <c r="B11" s="15" t="s">
        <v>63</v>
      </c>
      <c r="C11" s="15" t="s">
        <v>77</v>
      </c>
      <c r="D11" s="15" t="s">
        <v>78</v>
      </c>
      <c r="E11" s="15" t="s">
        <v>69</v>
      </c>
      <c r="F11" s="15"/>
      <c r="G11" s="15"/>
      <c r="H11" s="15"/>
      <c r="I11" s="15"/>
      <c r="J11" s="15"/>
    </row>
    <row r="12" customFormat="false" ht="21.75" hidden="false" customHeight="true" outlineLevel="0" collapsed="false">
      <c r="A12" s="11" t="s">
        <v>79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42" hidden="false" customHeight="true" outlineLevel="0" collapsed="false">
      <c r="A13" s="12" t="n">
        <v>7</v>
      </c>
      <c r="B13" s="13" t="s">
        <v>79</v>
      </c>
      <c r="C13" s="13" t="s">
        <v>80</v>
      </c>
      <c r="D13" s="13" t="s">
        <v>81</v>
      </c>
      <c r="E13" s="13" t="s">
        <v>82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79</v>
      </c>
      <c r="C14" s="15" t="s">
        <v>83</v>
      </c>
      <c r="D14" s="15" t="s">
        <v>84</v>
      </c>
      <c r="E14" s="15" t="s">
        <v>69</v>
      </c>
      <c r="F14" s="15"/>
      <c r="G14" s="15"/>
      <c r="H14" s="15"/>
      <c r="I14" s="15"/>
      <c r="J14" s="15"/>
    </row>
    <row r="15" customFormat="false" ht="42" hidden="false" customHeight="true" outlineLevel="0" collapsed="false">
      <c r="A15" s="12" t="n">
        <v>9</v>
      </c>
      <c r="B15" s="13" t="s">
        <v>79</v>
      </c>
      <c r="C15" s="13" t="s">
        <v>85</v>
      </c>
      <c r="D15" s="13" t="s">
        <v>86</v>
      </c>
      <c r="E15" s="13" t="s">
        <v>69</v>
      </c>
      <c r="F15" s="13"/>
      <c r="G15" s="13"/>
      <c r="H15" s="13"/>
      <c r="I15" s="13"/>
      <c r="J15" s="13"/>
    </row>
    <row r="16" customFormat="false" ht="42" hidden="false" customHeight="true" outlineLevel="0" collapsed="false">
      <c r="A16" s="14" t="n">
        <v>10</v>
      </c>
      <c r="B16" s="15" t="s">
        <v>79</v>
      </c>
      <c r="C16" s="15" t="s">
        <v>87</v>
      </c>
      <c r="D16" s="15" t="s">
        <v>88</v>
      </c>
      <c r="E16" s="15" t="s">
        <v>82</v>
      </c>
      <c r="F16" s="15"/>
      <c r="G16" s="15"/>
      <c r="H16" s="15"/>
      <c r="I16" s="15"/>
      <c r="J16" s="15"/>
    </row>
    <row r="17" customFormat="false" ht="21.75" hidden="false" customHeight="true" outlineLevel="0" collapsed="false">
      <c r="A17" s="11" t="s">
        <v>89</v>
      </c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42" hidden="false" customHeight="true" outlineLevel="0" collapsed="false">
      <c r="A18" s="12" t="n">
        <v>11</v>
      </c>
      <c r="B18" s="13" t="s">
        <v>89</v>
      </c>
      <c r="C18" s="13" t="s">
        <v>90</v>
      </c>
      <c r="D18" s="13" t="s">
        <v>91</v>
      </c>
      <c r="E18" s="13" t="s">
        <v>69</v>
      </c>
      <c r="F18" s="13"/>
      <c r="G18" s="13"/>
      <c r="H18" s="13"/>
      <c r="I18" s="13"/>
      <c r="J18" s="13"/>
    </row>
    <row r="19" customFormat="false" ht="42" hidden="false" customHeight="true" outlineLevel="0" collapsed="false">
      <c r="A19" s="14" t="n">
        <v>12</v>
      </c>
      <c r="B19" s="15" t="s">
        <v>89</v>
      </c>
      <c r="C19" s="15" t="s">
        <v>92</v>
      </c>
      <c r="D19" s="15" t="s">
        <v>93</v>
      </c>
      <c r="E19" s="15" t="s">
        <v>69</v>
      </c>
      <c r="F19" s="15"/>
      <c r="G19" s="15"/>
      <c r="H19" s="15"/>
      <c r="I19" s="15"/>
      <c r="J19" s="15"/>
    </row>
    <row r="20" customFormat="false" ht="42" hidden="false" customHeight="true" outlineLevel="0" collapsed="false">
      <c r="A20" s="12" t="n">
        <v>13</v>
      </c>
      <c r="B20" s="13" t="s">
        <v>89</v>
      </c>
      <c r="C20" s="13" t="s">
        <v>94</v>
      </c>
      <c r="D20" s="13" t="s">
        <v>95</v>
      </c>
      <c r="E20" s="13" t="s">
        <v>69</v>
      </c>
      <c r="F20" s="13"/>
      <c r="G20" s="13"/>
      <c r="H20" s="13"/>
      <c r="I20" s="13"/>
      <c r="J20" s="13"/>
    </row>
    <row r="21" customFormat="false" ht="42" hidden="false" customHeight="true" outlineLevel="0" collapsed="false">
      <c r="A21" s="14" t="n">
        <v>14</v>
      </c>
      <c r="B21" s="15" t="s">
        <v>89</v>
      </c>
      <c r="C21" s="15" t="s">
        <v>96</v>
      </c>
      <c r="D21" s="15" t="s">
        <v>97</v>
      </c>
      <c r="E21" s="15" t="s">
        <v>98</v>
      </c>
      <c r="F21" s="15"/>
      <c r="G21" s="15"/>
      <c r="H21" s="15"/>
      <c r="I21" s="15"/>
      <c r="J21" s="15"/>
    </row>
    <row r="22" customFormat="false" ht="42" hidden="false" customHeight="true" outlineLevel="0" collapsed="false">
      <c r="A22" s="12" t="n">
        <v>15</v>
      </c>
      <c r="B22" s="13" t="s">
        <v>89</v>
      </c>
      <c r="C22" s="13" t="s">
        <v>99</v>
      </c>
      <c r="D22" s="13" t="s">
        <v>100</v>
      </c>
      <c r="E22" s="13" t="s">
        <v>69</v>
      </c>
      <c r="F22" s="13"/>
      <c r="G22" s="13"/>
      <c r="H22" s="13"/>
      <c r="I22" s="13"/>
      <c r="J22" s="13"/>
    </row>
    <row r="23" customFormat="false" ht="21.75" hidden="false" customHeight="true" outlineLevel="0" collapsed="false">
      <c r="A23" s="11" t="s">
        <v>101</v>
      </c>
      <c r="B23" s="11"/>
      <c r="C23" s="11"/>
      <c r="D23" s="11"/>
      <c r="E23" s="11"/>
      <c r="F23" s="11"/>
      <c r="G23" s="11"/>
      <c r="H23" s="11"/>
      <c r="I23" s="11"/>
      <c r="J23" s="11"/>
    </row>
    <row r="24" customFormat="false" ht="42" hidden="false" customHeight="true" outlineLevel="0" collapsed="false">
      <c r="A24" s="14" t="n">
        <v>16</v>
      </c>
      <c r="B24" s="15" t="s">
        <v>101</v>
      </c>
      <c r="C24" s="15" t="s">
        <v>102</v>
      </c>
      <c r="D24" s="15" t="s">
        <v>103</v>
      </c>
      <c r="E24" s="15" t="s">
        <v>69</v>
      </c>
      <c r="F24" s="15"/>
      <c r="G24" s="15"/>
      <c r="H24" s="15"/>
      <c r="I24" s="15"/>
      <c r="J24" s="15"/>
    </row>
    <row r="25" customFormat="false" ht="42" hidden="false" customHeight="true" outlineLevel="0" collapsed="false">
      <c r="A25" s="12" t="n">
        <v>17</v>
      </c>
      <c r="B25" s="13" t="s">
        <v>101</v>
      </c>
      <c r="C25" s="13" t="s">
        <v>104</v>
      </c>
      <c r="D25" s="13" t="s">
        <v>105</v>
      </c>
      <c r="E25" s="13" t="s">
        <v>98</v>
      </c>
      <c r="F25" s="13"/>
      <c r="G25" s="13"/>
      <c r="H25" s="13"/>
      <c r="I25" s="13"/>
      <c r="J25" s="13"/>
    </row>
    <row r="26" customFormat="false" ht="42" hidden="false" customHeight="true" outlineLevel="0" collapsed="false">
      <c r="A26" s="14" t="n">
        <v>18</v>
      </c>
      <c r="B26" s="15" t="s">
        <v>101</v>
      </c>
      <c r="C26" s="15" t="s">
        <v>106</v>
      </c>
      <c r="D26" s="15" t="s">
        <v>107</v>
      </c>
      <c r="E26" s="15" t="s">
        <v>82</v>
      </c>
      <c r="F26" s="15"/>
      <c r="G26" s="15"/>
      <c r="H26" s="15"/>
      <c r="I26" s="15"/>
      <c r="J26" s="15"/>
    </row>
    <row r="27" customFormat="false" ht="42" hidden="false" customHeight="true" outlineLevel="0" collapsed="false">
      <c r="A27" s="12" t="n">
        <v>19</v>
      </c>
      <c r="B27" s="13" t="s">
        <v>101</v>
      </c>
      <c r="C27" s="13" t="s">
        <v>108</v>
      </c>
      <c r="D27" s="13" t="s">
        <v>109</v>
      </c>
      <c r="E27" s="13" t="s">
        <v>69</v>
      </c>
      <c r="F27" s="13"/>
      <c r="G27" s="13"/>
      <c r="H27" s="13"/>
      <c r="I27" s="13"/>
      <c r="J27" s="13"/>
    </row>
    <row r="28" customFormat="false" ht="42" hidden="false" customHeight="true" outlineLevel="0" collapsed="false">
      <c r="A28" s="14" t="n">
        <v>20</v>
      </c>
      <c r="B28" s="15" t="s">
        <v>101</v>
      </c>
      <c r="C28" s="15" t="s">
        <v>110</v>
      </c>
      <c r="D28" s="15" t="s">
        <v>111</v>
      </c>
      <c r="E28" s="15" t="s">
        <v>112</v>
      </c>
      <c r="F28" s="15"/>
      <c r="G28" s="15"/>
      <c r="H28" s="15"/>
      <c r="I28" s="15"/>
      <c r="J28" s="15"/>
    </row>
    <row r="29" customFormat="false" ht="21.75" hidden="false" customHeight="true" outlineLevel="0" collapsed="false">
      <c r="A29" s="11" t="s">
        <v>113</v>
      </c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42" hidden="false" customHeight="true" outlineLevel="0" collapsed="false">
      <c r="A30" s="12" t="n">
        <v>21</v>
      </c>
      <c r="B30" s="13" t="s">
        <v>113</v>
      </c>
      <c r="C30" s="13" t="s">
        <v>114</v>
      </c>
      <c r="D30" s="13" t="s">
        <v>115</v>
      </c>
      <c r="E30" s="13" t="s">
        <v>74</v>
      </c>
      <c r="F30" s="13"/>
      <c r="G30" s="13"/>
      <c r="H30" s="13"/>
      <c r="I30" s="13"/>
      <c r="J30" s="13"/>
    </row>
    <row r="31" customFormat="false" ht="42" hidden="false" customHeight="true" outlineLevel="0" collapsed="false">
      <c r="A31" s="14" t="n">
        <v>22</v>
      </c>
      <c r="B31" s="15" t="s">
        <v>113</v>
      </c>
      <c r="C31" s="15" t="s">
        <v>116</v>
      </c>
      <c r="D31" s="15" t="s">
        <v>117</v>
      </c>
      <c r="E31" s="15" t="s">
        <v>69</v>
      </c>
      <c r="F31" s="15"/>
      <c r="G31" s="15"/>
      <c r="H31" s="15"/>
      <c r="I31" s="15"/>
      <c r="J31" s="15"/>
    </row>
    <row r="32" customFormat="false" ht="42" hidden="false" customHeight="true" outlineLevel="0" collapsed="false">
      <c r="A32" s="12" t="n">
        <v>23</v>
      </c>
      <c r="B32" s="13" t="s">
        <v>113</v>
      </c>
      <c r="C32" s="13" t="s">
        <v>118</v>
      </c>
      <c r="D32" s="13" t="s">
        <v>119</v>
      </c>
      <c r="E32" s="13" t="s">
        <v>74</v>
      </c>
      <c r="F32" s="13"/>
      <c r="G32" s="13"/>
      <c r="H32" s="13"/>
      <c r="I32" s="13"/>
      <c r="J32" s="13"/>
    </row>
    <row r="33" customFormat="false" ht="42" hidden="false" customHeight="true" outlineLevel="0" collapsed="false">
      <c r="A33" s="14" t="n">
        <v>24</v>
      </c>
      <c r="B33" s="15" t="s">
        <v>113</v>
      </c>
      <c r="C33" s="15" t="s">
        <v>120</v>
      </c>
      <c r="D33" s="15" t="s">
        <v>121</v>
      </c>
      <c r="E33" s="15" t="s">
        <v>82</v>
      </c>
      <c r="F33" s="15"/>
      <c r="G33" s="15"/>
      <c r="H33" s="15"/>
      <c r="I33" s="15"/>
      <c r="J33" s="15"/>
    </row>
    <row r="34" customFormat="false" ht="42" hidden="false" customHeight="true" outlineLevel="0" collapsed="false">
      <c r="A34" s="12" t="n">
        <v>25</v>
      </c>
      <c r="B34" s="13" t="s">
        <v>113</v>
      </c>
      <c r="C34" s="13" t="s">
        <v>122</v>
      </c>
      <c r="D34" s="13" t="s">
        <v>123</v>
      </c>
      <c r="E34" s="13" t="s">
        <v>69</v>
      </c>
      <c r="F34" s="13"/>
      <c r="G34" s="13"/>
      <c r="H34" s="13"/>
      <c r="I34" s="13"/>
      <c r="J34" s="13"/>
    </row>
    <row r="35" customFormat="false" ht="21.75" hidden="false" customHeight="true" outlineLevel="0" collapsed="false">
      <c r="A35" s="11" t="s">
        <v>124</v>
      </c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42" hidden="false" customHeight="true" outlineLevel="0" collapsed="false">
      <c r="A36" s="14" t="n">
        <v>26</v>
      </c>
      <c r="B36" s="15" t="s">
        <v>124</v>
      </c>
      <c r="C36" s="15" t="s">
        <v>125</v>
      </c>
      <c r="D36" s="15" t="s">
        <v>126</v>
      </c>
      <c r="E36" s="15" t="s">
        <v>112</v>
      </c>
      <c r="F36" s="15"/>
      <c r="G36" s="15"/>
      <c r="H36" s="15"/>
      <c r="I36" s="15"/>
      <c r="J36" s="15"/>
    </row>
    <row r="37" customFormat="false" ht="42" hidden="false" customHeight="true" outlineLevel="0" collapsed="false">
      <c r="A37" s="12" t="n">
        <v>27</v>
      </c>
      <c r="B37" s="13" t="s">
        <v>124</v>
      </c>
      <c r="C37" s="13" t="s">
        <v>127</v>
      </c>
      <c r="D37" s="13" t="s">
        <v>128</v>
      </c>
      <c r="E37" s="13" t="s">
        <v>112</v>
      </c>
      <c r="F37" s="13"/>
      <c r="G37" s="13"/>
      <c r="H37" s="13"/>
      <c r="I37" s="13"/>
      <c r="J37" s="13"/>
    </row>
    <row r="38" customFormat="false" ht="42" hidden="false" customHeight="true" outlineLevel="0" collapsed="false">
      <c r="A38" s="14" t="n">
        <v>28</v>
      </c>
      <c r="B38" s="15" t="s">
        <v>124</v>
      </c>
      <c r="C38" s="15" t="s">
        <v>129</v>
      </c>
      <c r="D38" s="15" t="s">
        <v>130</v>
      </c>
      <c r="E38" s="15" t="s">
        <v>74</v>
      </c>
      <c r="F38" s="15"/>
      <c r="G38" s="15"/>
      <c r="H38" s="15"/>
      <c r="I38" s="15"/>
      <c r="J38" s="15"/>
    </row>
    <row r="39" customFormat="false" ht="42" hidden="false" customHeight="true" outlineLevel="0" collapsed="false">
      <c r="A39" s="12" t="n">
        <v>29</v>
      </c>
      <c r="B39" s="13" t="s">
        <v>124</v>
      </c>
      <c r="C39" s="13" t="s">
        <v>131</v>
      </c>
      <c r="D39" s="13" t="s">
        <v>132</v>
      </c>
      <c r="E39" s="13" t="s">
        <v>69</v>
      </c>
      <c r="F39" s="13"/>
      <c r="G39" s="13"/>
      <c r="H39" s="13"/>
      <c r="I39" s="13"/>
      <c r="J39" s="13"/>
    </row>
    <row r="40" customFormat="false" ht="42" hidden="false" customHeight="true" outlineLevel="0" collapsed="false">
      <c r="A40" s="14" t="n">
        <v>30</v>
      </c>
      <c r="B40" s="15" t="s">
        <v>124</v>
      </c>
      <c r="C40" s="15" t="s">
        <v>133</v>
      </c>
      <c r="D40" s="15" t="s">
        <v>134</v>
      </c>
      <c r="E40" s="15" t="s">
        <v>74</v>
      </c>
      <c r="F40" s="15"/>
      <c r="G40" s="15"/>
      <c r="H40" s="15"/>
      <c r="I40" s="15"/>
      <c r="J40" s="15"/>
    </row>
  </sheetData>
  <mergeCells count="8">
    <mergeCell ref="A1:J1"/>
    <mergeCell ref="A2:J2"/>
    <mergeCell ref="A5:J5"/>
    <mergeCell ref="A12:J12"/>
    <mergeCell ref="A17:J17"/>
    <mergeCell ref="A23:J23"/>
    <mergeCell ref="A29:J29"/>
    <mergeCell ref="A35:J35"/>
  </mergeCells>
  <dataValidations count="2">
    <dataValidation allowBlank="true" errorStyle="stop" operator="between" showDropDown="false" showErrorMessage="false" showInputMessage="false" sqref="I5:I40" type="list">
      <formula1>"Must,Should,Nice"</formula1>
      <formula2>0</formula2>
    </dataValidation>
    <dataValidation allowBlank="true" errorStyle="stop" operator="between" showDropDown="false" showErrorMessage="false" showInputMessage="false" sqref="J5:J40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25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26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135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135</v>
      </c>
      <c r="C6" s="13" t="s">
        <v>136</v>
      </c>
      <c r="D6" s="13" t="s">
        <v>137</v>
      </c>
      <c r="E6" s="13" t="s">
        <v>69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135</v>
      </c>
      <c r="C7" s="15" t="s">
        <v>138</v>
      </c>
      <c r="D7" s="15" t="s">
        <v>139</v>
      </c>
      <c r="E7" s="15" t="s">
        <v>82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135</v>
      </c>
      <c r="C8" s="13" t="s">
        <v>140</v>
      </c>
      <c r="D8" s="13" t="s">
        <v>141</v>
      </c>
      <c r="E8" s="13" t="s">
        <v>112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135</v>
      </c>
      <c r="C9" s="15" t="s">
        <v>142</v>
      </c>
      <c r="D9" s="15" t="s">
        <v>143</v>
      </c>
      <c r="E9" s="15" t="s">
        <v>112</v>
      </c>
      <c r="F9" s="15"/>
      <c r="G9" s="15"/>
      <c r="H9" s="15"/>
      <c r="I9" s="15"/>
      <c r="J9" s="15"/>
    </row>
    <row r="10" customFormat="false" ht="21.75" hidden="false" customHeight="true" outlineLevel="0" collapsed="false">
      <c r="A10" s="11" t="s">
        <v>144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42" hidden="false" customHeight="true" outlineLevel="0" collapsed="false">
      <c r="A11" s="12" t="n">
        <v>5</v>
      </c>
      <c r="B11" s="13" t="s">
        <v>144</v>
      </c>
      <c r="C11" s="13" t="s">
        <v>145</v>
      </c>
      <c r="D11" s="13" t="s">
        <v>146</v>
      </c>
      <c r="E11" s="13" t="s">
        <v>69</v>
      </c>
      <c r="F11" s="13"/>
      <c r="G11" s="13"/>
      <c r="H11" s="13"/>
      <c r="I11" s="13"/>
      <c r="J11" s="13"/>
    </row>
    <row r="12" customFormat="false" ht="42" hidden="false" customHeight="true" outlineLevel="0" collapsed="false">
      <c r="A12" s="14" t="n">
        <v>6</v>
      </c>
      <c r="B12" s="15" t="s">
        <v>144</v>
      </c>
      <c r="C12" s="15" t="s">
        <v>147</v>
      </c>
      <c r="D12" s="15" t="s">
        <v>148</v>
      </c>
      <c r="E12" s="15" t="s">
        <v>69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144</v>
      </c>
      <c r="C13" s="13" t="s">
        <v>149</v>
      </c>
      <c r="D13" s="13" t="s">
        <v>150</v>
      </c>
      <c r="E13" s="13" t="s">
        <v>112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144</v>
      </c>
      <c r="C14" s="15" t="s">
        <v>151</v>
      </c>
      <c r="D14" s="15" t="s">
        <v>152</v>
      </c>
      <c r="E14" s="15" t="s">
        <v>82</v>
      </c>
      <c r="F14" s="15"/>
      <c r="G14" s="15"/>
      <c r="H14" s="15"/>
      <c r="I14" s="15"/>
      <c r="J14" s="15"/>
    </row>
    <row r="15" customFormat="false" ht="42" hidden="false" customHeight="true" outlineLevel="0" collapsed="false">
      <c r="A15" s="12" t="n">
        <v>9</v>
      </c>
      <c r="B15" s="13" t="s">
        <v>144</v>
      </c>
      <c r="C15" s="13" t="s">
        <v>153</v>
      </c>
      <c r="D15" s="13" t="s">
        <v>154</v>
      </c>
      <c r="E15" s="13" t="s">
        <v>112</v>
      </c>
      <c r="F15" s="13"/>
      <c r="G15" s="13"/>
      <c r="H15" s="13"/>
      <c r="I15" s="13"/>
      <c r="J15" s="13"/>
    </row>
    <row r="16" customFormat="false" ht="21.75" hidden="false" customHeight="true" outlineLevel="0" collapsed="false">
      <c r="A16" s="11" t="s">
        <v>155</v>
      </c>
      <c r="B16" s="11"/>
      <c r="C16" s="11"/>
      <c r="D16" s="11"/>
      <c r="E16" s="11"/>
      <c r="F16" s="11"/>
      <c r="G16" s="11"/>
      <c r="H16" s="11"/>
      <c r="I16" s="11"/>
      <c r="J16" s="11"/>
    </row>
    <row r="17" customFormat="false" ht="42" hidden="false" customHeight="true" outlineLevel="0" collapsed="false">
      <c r="A17" s="14" t="n">
        <v>10</v>
      </c>
      <c r="B17" s="15" t="s">
        <v>155</v>
      </c>
      <c r="C17" s="15" t="s">
        <v>156</v>
      </c>
      <c r="D17" s="15" t="s">
        <v>157</v>
      </c>
      <c r="E17" s="15" t="s">
        <v>82</v>
      </c>
      <c r="F17" s="15"/>
      <c r="G17" s="15"/>
      <c r="H17" s="15"/>
      <c r="I17" s="15"/>
      <c r="J17" s="15"/>
    </row>
    <row r="18" customFormat="false" ht="42" hidden="false" customHeight="true" outlineLevel="0" collapsed="false">
      <c r="A18" s="12" t="n">
        <v>11</v>
      </c>
      <c r="B18" s="13" t="s">
        <v>155</v>
      </c>
      <c r="C18" s="13" t="s">
        <v>158</v>
      </c>
      <c r="D18" s="13" t="s">
        <v>159</v>
      </c>
      <c r="E18" s="13" t="s">
        <v>69</v>
      </c>
      <c r="F18" s="13"/>
      <c r="G18" s="13"/>
      <c r="H18" s="13"/>
      <c r="I18" s="13"/>
      <c r="J18" s="13"/>
    </row>
    <row r="19" customFormat="false" ht="42" hidden="false" customHeight="true" outlineLevel="0" collapsed="false">
      <c r="A19" s="14" t="n">
        <v>12</v>
      </c>
      <c r="B19" s="15" t="s">
        <v>155</v>
      </c>
      <c r="C19" s="15" t="s">
        <v>160</v>
      </c>
      <c r="D19" s="15" t="s">
        <v>161</v>
      </c>
      <c r="E19" s="15" t="s">
        <v>69</v>
      </c>
      <c r="F19" s="15"/>
      <c r="G19" s="15"/>
      <c r="H19" s="15"/>
      <c r="I19" s="15"/>
      <c r="J19" s="15"/>
    </row>
    <row r="20" customFormat="false" ht="42" hidden="false" customHeight="true" outlineLevel="0" collapsed="false">
      <c r="A20" s="12" t="n">
        <v>13</v>
      </c>
      <c r="B20" s="13" t="s">
        <v>155</v>
      </c>
      <c r="C20" s="13" t="s">
        <v>162</v>
      </c>
      <c r="D20" s="13" t="s">
        <v>163</v>
      </c>
      <c r="E20" s="13" t="s">
        <v>112</v>
      </c>
      <c r="F20" s="13"/>
      <c r="G20" s="13"/>
      <c r="H20" s="13"/>
      <c r="I20" s="13"/>
      <c r="J20" s="13"/>
    </row>
    <row r="21" customFormat="false" ht="42" hidden="false" customHeight="true" outlineLevel="0" collapsed="false">
      <c r="A21" s="14" t="n">
        <v>14</v>
      </c>
      <c r="B21" s="15" t="s">
        <v>155</v>
      </c>
      <c r="C21" s="15" t="s">
        <v>164</v>
      </c>
      <c r="D21" s="15" t="s">
        <v>165</v>
      </c>
      <c r="E21" s="15" t="s">
        <v>82</v>
      </c>
      <c r="F21" s="15"/>
      <c r="G21" s="15"/>
      <c r="H21" s="15"/>
      <c r="I21" s="15"/>
      <c r="J21" s="15"/>
    </row>
    <row r="22" customFormat="false" ht="21.75" hidden="false" customHeight="true" outlineLevel="0" collapsed="false">
      <c r="A22" s="11" t="s">
        <v>166</v>
      </c>
      <c r="B22" s="11"/>
      <c r="C22" s="11"/>
      <c r="D22" s="11"/>
      <c r="E22" s="11"/>
      <c r="F22" s="11"/>
      <c r="G22" s="11"/>
      <c r="H22" s="11"/>
      <c r="I22" s="11"/>
      <c r="J22" s="11"/>
    </row>
    <row r="23" customFormat="false" ht="42" hidden="false" customHeight="true" outlineLevel="0" collapsed="false">
      <c r="A23" s="12" t="n">
        <v>15</v>
      </c>
      <c r="B23" s="13" t="s">
        <v>166</v>
      </c>
      <c r="C23" s="13" t="s">
        <v>167</v>
      </c>
      <c r="D23" s="13" t="s">
        <v>168</v>
      </c>
      <c r="E23" s="13" t="s">
        <v>74</v>
      </c>
      <c r="F23" s="13"/>
      <c r="G23" s="13"/>
      <c r="H23" s="13"/>
      <c r="I23" s="13"/>
      <c r="J23" s="13"/>
    </row>
    <row r="24" customFormat="false" ht="42" hidden="false" customHeight="true" outlineLevel="0" collapsed="false">
      <c r="A24" s="14" t="n">
        <v>16</v>
      </c>
      <c r="B24" s="15" t="s">
        <v>166</v>
      </c>
      <c r="C24" s="15" t="s">
        <v>169</v>
      </c>
      <c r="D24" s="15" t="s">
        <v>170</v>
      </c>
      <c r="E24" s="15" t="s">
        <v>74</v>
      </c>
      <c r="F24" s="15"/>
      <c r="G24" s="15"/>
      <c r="H24" s="15"/>
      <c r="I24" s="15"/>
      <c r="J24" s="15"/>
    </row>
    <row r="25" customFormat="false" ht="42" hidden="false" customHeight="true" outlineLevel="0" collapsed="false">
      <c r="A25" s="12" t="n">
        <v>17</v>
      </c>
      <c r="B25" s="13" t="s">
        <v>166</v>
      </c>
      <c r="C25" s="13" t="s">
        <v>171</v>
      </c>
      <c r="D25" s="13" t="s">
        <v>172</v>
      </c>
      <c r="E25" s="13" t="s">
        <v>82</v>
      </c>
      <c r="F25" s="13"/>
      <c r="G25" s="13"/>
      <c r="H25" s="13"/>
      <c r="I25" s="13"/>
      <c r="J25" s="13"/>
    </row>
    <row r="26" customFormat="false" ht="42" hidden="false" customHeight="true" outlineLevel="0" collapsed="false">
      <c r="A26" s="14" t="n">
        <v>18</v>
      </c>
      <c r="B26" s="15" t="s">
        <v>166</v>
      </c>
      <c r="C26" s="15" t="s">
        <v>173</v>
      </c>
      <c r="D26" s="15" t="s">
        <v>174</v>
      </c>
      <c r="E26" s="15" t="s">
        <v>112</v>
      </c>
      <c r="F26" s="15"/>
      <c r="G26" s="15"/>
      <c r="H26" s="15"/>
      <c r="I26" s="15"/>
      <c r="J26" s="15"/>
    </row>
    <row r="27" customFormat="false" ht="42" hidden="false" customHeight="true" outlineLevel="0" collapsed="false">
      <c r="A27" s="12" t="n">
        <v>19</v>
      </c>
      <c r="B27" s="13" t="s">
        <v>166</v>
      </c>
      <c r="C27" s="13" t="s">
        <v>175</v>
      </c>
      <c r="D27" s="13" t="s">
        <v>176</v>
      </c>
      <c r="E27" s="13" t="s">
        <v>69</v>
      </c>
      <c r="F27" s="13"/>
      <c r="G27" s="13"/>
      <c r="H27" s="13"/>
      <c r="I27" s="13"/>
      <c r="J27" s="13"/>
    </row>
    <row r="28" customFormat="false" ht="42" hidden="false" customHeight="true" outlineLevel="0" collapsed="false">
      <c r="A28" s="14" t="n">
        <v>20</v>
      </c>
      <c r="B28" s="15" t="s">
        <v>166</v>
      </c>
      <c r="C28" s="15" t="s">
        <v>177</v>
      </c>
      <c r="D28" s="15" t="s">
        <v>178</v>
      </c>
      <c r="E28" s="15" t="s">
        <v>112</v>
      </c>
      <c r="F28" s="15"/>
      <c r="G28" s="15"/>
      <c r="H28" s="15"/>
      <c r="I28" s="15"/>
      <c r="J28" s="15"/>
    </row>
    <row r="29" customFormat="false" ht="21.75" hidden="false" customHeight="true" outlineLevel="0" collapsed="false">
      <c r="A29" s="11" t="s">
        <v>179</v>
      </c>
      <c r="B29" s="11"/>
      <c r="C29" s="11"/>
      <c r="D29" s="11"/>
      <c r="E29" s="11"/>
      <c r="F29" s="11"/>
      <c r="G29" s="11"/>
      <c r="H29" s="11"/>
      <c r="I29" s="11"/>
      <c r="J29" s="11"/>
    </row>
    <row r="30" customFormat="false" ht="42" hidden="false" customHeight="true" outlineLevel="0" collapsed="false">
      <c r="A30" s="12" t="n">
        <v>21</v>
      </c>
      <c r="B30" s="13" t="s">
        <v>179</v>
      </c>
      <c r="C30" s="13" t="s">
        <v>180</v>
      </c>
      <c r="D30" s="13" t="s">
        <v>181</v>
      </c>
      <c r="E30" s="13" t="s">
        <v>74</v>
      </c>
      <c r="F30" s="13"/>
      <c r="G30" s="13"/>
      <c r="H30" s="13"/>
      <c r="I30" s="13"/>
      <c r="J30" s="13"/>
    </row>
    <row r="31" customFormat="false" ht="42" hidden="false" customHeight="true" outlineLevel="0" collapsed="false">
      <c r="A31" s="14" t="n">
        <v>22</v>
      </c>
      <c r="B31" s="15" t="s">
        <v>179</v>
      </c>
      <c r="C31" s="15" t="s">
        <v>182</v>
      </c>
      <c r="D31" s="15" t="s">
        <v>183</v>
      </c>
      <c r="E31" s="15" t="s">
        <v>69</v>
      </c>
      <c r="F31" s="15"/>
      <c r="G31" s="15"/>
      <c r="H31" s="15"/>
      <c r="I31" s="15"/>
      <c r="J31" s="15"/>
    </row>
    <row r="32" customFormat="false" ht="42" hidden="false" customHeight="true" outlineLevel="0" collapsed="false">
      <c r="A32" s="12" t="n">
        <v>23</v>
      </c>
      <c r="B32" s="13" t="s">
        <v>179</v>
      </c>
      <c r="C32" s="13" t="s">
        <v>184</v>
      </c>
      <c r="D32" s="13" t="s">
        <v>185</v>
      </c>
      <c r="E32" s="13" t="s">
        <v>69</v>
      </c>
      <c r="F32" s="13"/>
      <c r="G32" s="13"/>
      <c r="H32" s="13"/>
      <c r="I32" s="13"/>
      <c r="J32" s="13"/>
    </row>
    <row r="33" customFormat="false" ht="42" hidden="false" customHeight="true" outlineLevel="0" collapsed="false">
      <c r="A33" s="14" t="n">
        <v>24</v>
      </c>
      <c r="B33" s="15" t="s">
        <v>179</v>
      </c>
      <c r="C33" s="15" t="s">
        <v>186</v>
      </c>
      <c r="D33" s="15" t="s">
        <v>187</v>
      </c>
      <c r="E33" s="15" t="s">
        <v>112</v>
      </c>
      <c r="F33" s="15"/>
      <c r="G33" s="15"/>
      <c r="H33" s="15"/>
      <c r="I33" s="15"/>
      <c r="J33" s="15"/>
    </row>
    <row r="34" customFormat="false" ht="42" hidden="false" customHeight="true" outlineLevel="0" collapsed="false">
      <c r="A34" s="12" t="n">
        <v>25</v>
      </c>
      <c r="B34" s="13" t="s">
        <v>179</v>
      </c>
      <c r="C34" s="13" t="s">
        <v>188</v>
      </c>
      <c r="D34" s="13" t="s">
        <v>189</v>
      </c>
      <c r="E34" s="13" t="s">
        <v>69</v>
      </c>
      <c r="F34" s="13"/>
      <c r="G34" s="13"/>
      <c r="H34" s="13"/>
      <c r="I34" s="13"/>
      <c r="J34" s="13"/>
    </row>
    <row r="35" customFormat="false" ht="21.75" hidden="false" customHeight="true" outlineLevel="0" collapsed="false">
      <c r="A35" s="11" t="s">
        <v>190</v>
      </c>
      <c r="B35" s="11"/>
      <c r="C35" s="11"/>
      <c r="D35" s="11"/>
      <c r="E35" s="11"/>
      <c r="F35" s="11"/>
      <c r="G35" s="11"/>
      <c r="H35" s="11"/>
      <c r="I35" s="11"/>
      <c r="J35" s="11"/>
    </row>
    <row r="36" customFormat="false" ht="42" hidden="false" customHeight="true" outlineLevel="0" collapsed="false">
      <c r="A36" s="14" t="n">
        <v>26</v>
      </c>
      <c r="B36" s="15" t="s">
        <v>190</v>
      </c>
      <c r="C36" s="15" t="s">
        <v>191</v>
      </c>
      <c r="D36" s="15" t="s">
        <v>192</v>
      </c>
      <c r="E36" s="15" t="s">
        <v>82</v>
      </c>
      <c r="F36" s="15"/>
      <c r="G36" s="15"/>
      <c r="H36" s="15"/>
      <c r="I36" s="15"/>
      <c r="J36" s="15"/>
    </row>
    <row r="37" customFormat="false" ht="42" hidden="false" customHeight="true" outlineLevel="0" collapsed="false">
      <c r="A37" s="12" t="n">
        <v>27</v>
      </c>
      <c r="B37" s="13" t="s">
        <v>190</v>
      </c>
      <c r="C37" s="13" t="s">
        <v>193</v>
      </c>
      <c r="D37" s="13" t="s">
        <v>194</v>
      </c>
      <c r="E37" s="13" t="s">
        <v>74</v>
      </c>
      <c r="F37" s="13"/>
      <c r="G37" s="13"/>
      <c r="H37" s="13"/>
      <c r="I37" s="13"/>
      <c r="J37" s="13"/>
    </row>
    <row r="38" customFormat="false" ht="42" hidden="false" customHeight="true" outlineLevel="0" collapsed="false">
      <c r="A38" s="14" t="n">
        <v>28</v>
      </c>
      <c r="B38" s="15" t="s">
        <v>190</v>
      </c>
      <c r="C38" s="15" t="s">
        <v>195</v>
      </c>
      <c r="D38" s="15" t="s">
        <v>196</v>
      </c>
      <c r="E38" s="15" t="s">
        <v>69</v>
      </c>
      <c r="F38" s="15"/>
      <c r="G38" s="15"/>
      <c r="H38" s="15"/>
      <c r="I38" s="15"/>
      <c r="J38" s="15"/>
    </row>
    <row r="39" customFormat="false" ht="42" hidden="false" customHeight="true" outlineLevel="0" collapsed="false">
      <c r="A39" s="12" t="n">
        <v>29</v>
      </c>
      <c r="B39" s="13" t="s">
        <v>190</v>
      </c>
      <c r="C39" s="13" t="s">
        <v>197</v>
      </c>
      <c r="D39" s="13" t="s">
        <v>198</v>
      </c>
      <c r="E39" s="13" t="s">
        <v>112</v>
      </c>
      <c r="F39" s="13"/>
      <c r="G39" s="13"/>
      <c r="H39" s="13"/>
      <c r="I39" s="13"/>
      <c r="J39" s="13"/>
    </row>
    <row r="40" customFormat="false" ht="21.75" hidden="false" customHeight="true" outlineLevel="0" collapsed="false">
      <c r="A40" s="11" t="s">
        <v>199</v>
      </c>
      <c r="B40" s="11"/>
      <c r="C40" s="11"/>
      <c r="D40" s="11"/>
      <c r="E40" s="11"/>
      <c r="F40" s="11"/>
      <c r="G40" s="11"/>
      <c r="H40" s="11"/>
      <c r="I40" s="11"/>
      <c r="J40" s="11"/>
    </row>
    <row r="41" customFormat="false" ht="42" hidden="false" customHeight="true" outlineLevel="0" collapsed="false">
      <c r="A41" s="14" t="n">
        <v>30</v>
      </c>
      <c r="B41" s="15" t="s">
        <v>199</v>
      </c>
      <c r="C41" s="15" t="s">
        <v>200</v>
      </c>
      <c r="D41" s="15" t="s">
        <v>201</v>
      </c>
      <c r="E41" s="15" t="s">
        <v>69</v>
      </c>
      <c r="F41" s="15"/>
      <c r="G41" s="15"/>
      <c r="H41" s="15"/>
      <c r="I41" s="15"/>
      <c r="J41" s="15"/>
    </row>
    <row r="42" customFormat="false" ht="42" hidden="false" customHeight="true" outlineLevel="0" collapsed="false">
      <c r="A42" s="12" t="n">
        <v>31</v>
      </c>
      <c r="B42" s="13" t="s">
        <v>199</v>
      </c>
      <c r="C42" s="13" t="s">
        <v>202</v>
      </c>
      <c r="D42" s="13" t="s">
        <v>203</v>
      </c>
      <c r="E42" s="13" t="s">
        <v>112</v>
      </c>
      <c r="F42" s="13"/>
      <c r="G42" s="13"/>
      <c r="H42" s="13"/>
      <c r="I42" s="13"/>
      <c r="J42" s="13"/>
    </row>
    <row r="43" customFormat="false" ht="42" hidden="false" customHeight="true" outlineLevel="0" collapsed="false">
      <c r="A43" s="14" t="n">
        <v>32</v>
      </c>
      <c r="B43" s="15" t="s">
        <v>199</v>
      </c>
      <c r="C43" s="15" t="s">
        <v>204</v>
      </c>
      <c r="D43" s="15" t="s">
        <v>205</v>
      </c>
      <c r="E43" s="15" t="s">
        <v>112</v>
      </c>
      <c r="F43" s="15"/>
      <c r="G43" s="15"/>
      <c r="H43" s="15"/>
      <c r="I43" s="15"/>
      <c r="J43" s="15"/>
    </row>
    <row r="44" customFormat="false" ht="42" hidden="false" customHeight="true" outlineLevel="0" collapsed="false">
      <c r="A44" s="12" t="n">
        <v>33</v>
      </c>
      <c r="B44" s="13" t="s">
        <v>199</v>
      </c>
      <c r="C44" s="13" t="s">
        <v>206</v>
      </c>
      <c r="D44" s="13" t="s">
        <v>207</v>
      </c>
      <c r="E44" s="13" t="s">
        <v>112</v>
      </c>
      <c r="F44" s="13"/>
      <c r="G44" s="13"/>
      <c r="H44" s="13"/>
      <c r="I44" s="13"/>
      <c r="J44" s="13"/>
    </row>
  </sheetData>
  <mergeCells count="9">
    <mergeCell ref="A1:J1"/>
    <mergeCell ref="A2:J2"/>
    <mergeCell ref="A5:J5"/>
    <mergeCell ref="A10:J10"/>
    <mergeCell ref="A16:J16"/>
    <mergeCell ref="A22:J22"/>
    <mergeCell ref="A29:J29"/>
    <mergeCell ref="A35:J35"/>
    <mergeCell ref="A40:J40"/>
  </mergeCells>
  <dataValidations count="2">
    <dataValidation allowBlank="true" errorStyle="stop" operator="between" showDropDown="false" showErrorMessage="false" showInputMessage="false" sqref="I5:I44" type="list">
      <formula1>"Must,Should,Nice"</formula1>
      <formula2>0</formula2>
    </dataValidation>
    <dataValidation allowBlank="true" errorStyle="stop" operator="between" showDropDown="false" showErrorMessage="false" showInputMessage="false" sqref="J5:J44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28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208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208</v>
      </c>
      <c r="C6" s="13" t="s">
        <v>209</v>
      </c>
      <c r="D6" s="13" t="s">
        <v>210</v>
      </c>
      <c r="E6" s="13" t="s">
        <v>82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208</v>
      </c>
      <c r="C7" s="15" t="s">
        <v>211</v>
      </c>
      <c r="D7" s="15" t="s">
        <v>212</v>
      </c>
      <c r="E7" s="15" t="s">
        <v>69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208</v>
      </c>
      <c r="C8" s="13" t="s">
        <v>213</v>
      </c>
      <c r="D8" s="13" t="s">
        <v>214</v>
      </c>
      <c r="E8" s="13" t="s">
        <v>69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208</v>
      </c>
      <c r="C9" s="15" t="s">
        <v>215</v>
      </c>
      <c r="D9" s="15" t="s">
        <v>216</v>
      </c>
      <c r="E9" s="15" t="s">
        <v>112</v>
      </c>
      <c r="F9" s="15"/>
      <c r="G9" s="15"/>
      <c r="H9" s="15"/>
      <c r="I9" s="15"/>
      <c r="J9" s="15"/>
    </row>
    <row r="10" customFormat="false" ht="21.75" hidden="false" customHeight="true" outlineLevel="0" collapsed="false">
      <c r="A10" s="11" t="s">
        <v>217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42" hidden="false" customHeight="true" outlineLevel="0" collapsed="false">
      <c r="A11" s="12" t="n">
        <v>5</v>
      </c>
      <c r="B11" s="13" t="s">
        <v>217</v>
      </c>
      <c r="C11" s="13" t="s">
        <v>218</v>
      </c>
      <c r="D11" s="13" t="s">
        <v>219</v>
      </c>
      <c r="E11" s="13" t="s">
        <v>69</v>
      </c>
      <c r="F11" s="13"/>
      <c r="G11" s="13"/>
      <c r="H11" s="13"/>
      <c r="I11" s="13"/>
      <c r="J11" s="13"/>
    </row>
    <row r="12" customFormat="false" ht="42" hidden="false" customHeight="true" outlineLevel="0" collapsed="false">
      <c r="A12" s="14" t="n">
        <v>6</v>
      </c>
      <c r="B12" s="15" t="s">
        <v>217</v>
      </c>
      <c r="C12" s="15" t="s">
        <v>220</v>
      </c>
      <c r="D12" s="15" t="s">
        <v>221</v>
      </c>
      <c r="E12" s="15" t="s">
        <v>112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217</v>
      </c>
      <c r="C13" s="13" t="s">
        <v>222</v>
      </c>
      <c r="D13" s="13" t="s">
        <v>223</v>
      </c>
      <c r="E13" s="13" t="s">
        <v>69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217</v>
      </c>
      <c r="C14" s="15" t="s">
        <v>224</v>
      </c>
      <c r="D14" s="15" t="s">
        <v>225</v>
      </c>
      <c r="E14" s="15" t="s">
        <v>112</v>
      </c>
      <c r="F14" s="15"/>
      <c r="G14" s="15"/>
      <c r="H14" s="15"/>
      <c r="I14" s="15"/>
      <c r="J14" s="15"/>
    </row>
    <row r="15" customFormat="false" ht="21.75" hidden="false" customHeight="true" outlineLevel="0" collapsed="false">
      <c r="A15" s="11" t="s">
        <v>226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42" hidden="false" customHeight="true" outlineLevel="0" collapsed="false">
      <c r="A16" s="12" t="n">
        <v>9</v>
      </c>
      <c r="B16" s="13" t="s">
        <v>226</v>
      </c>
      <c r="C16" s="13" t="s">
        <v>227</v>
      </c>
      <c r="D16" s="13" t="s">
        <v>228</v>
      </c>
      <c r="E16" s="13" t="s">
        <v>69</v>
      </c>
      <c r="F16" s="13"/>
      <c r="G16" s="13"/>
      <c r="H16" s="13"/>
      <c r="I16" s="13"/>
      <c r="J16" s="13"/>
    </row>
    <row r="17" customFormat="false" ht="42" hidden="false" customHeight="true" outlineLevel="0" collapsed="false">
      <c r="A17" s="14" t="n">
        <v>10</v>
      </c>
      <c r="B17" s="15" t="s">
        <v>226</v>
      </c>
      <c r="C17" s="15" t="s">
        <v>229</v>
      </c>
      <c r="D17" s="15" t="s">
        <v>230</v>
      </c>
      <c r="E17" s="15" t="s">
        <v>69</v>
      </c>
      <c r="F17" s="15"/>
      <c r="G17" s="15"/>
      <c r="H17" s="15"/>
      <c r="I17" s="15"/>
      <c r="J17" s="15"/>
    </row>
    <row r="18" customFormat="false" ht="42" hidden="false" customHeight="true" outlineLevel="0" collapsed="false">
      <c r="A18" s="12" t="n">
        <v>11</v>
      </c>
      <c r="B18" s="13" t="s">
        <v>226</v>
      </c>
      <c r="C18" s="13" t="s">
        <v>231</v>
      </c>
      <c r="D18" s="13" t="s">
        <v>232</v>
      </c>
      <c r="E18" s="13" t="s">
        <v>74</v>
      </c>
      <c r="F18" s="13"/>
      <c r="G18" s="13"/>
      <c r="H18" s="13"/>
      <c r="I18" s="13"/>
      <c r="J18" s="13"/>
    </row>
    <row r="19" customFormat="false" ht="42" hidden="false" customHeight="true" outlineLevel="0" collapsed="false">
      <c r="A19" s="14" t="n">
        <v>12</v>
      </c>
      <c r="B19" s="15" t="s">
        <v>226</v>
      </c>
      <c r="C19" s="15" t="s">
        <v>233</v>
      </c>
      <c r="D19" s="15" t="s">
        <v>234</v>
      </c>
      <c r="E19" s="15" t="s">
        <v>69</v>
      </c>
      <c r="F19" s="15"/>
      <c r="G19" s="15"/>
      <c r="H19" s="15"/>
      <c r="I19" s="15"/>
      <c r="J19" s="15"/>
    </row>
    <row r="20" customFormat="false" ht="21.75" hidden="false" customHeight="true" outlineLevel="0" collapsed="false">
      <c r="A20" s="11" t="s">
        <v>235</v>
      </c>
      <c r="B20" s="11"/>
      <c r="C20" s="11"/>
      <c r="D20" s="11"/>
      <c r="E20" s="11"/>
      <c r="F20" s="11"/>
      <c r="G20" s="11"/>
      <c r="H20" s="11"/>
      <c r="I20" s="11"/>
      <c r="J20" s="11"/>
    </row>
    <row r="21" customFormat="false" ht="42" hidden="false" customHeight="true" outlineLevel="0" collapsed="false">
      <c r="A21" s="12" t="n">
        <v>13</v>
      </c>
      <c r="B21" s="13" t="s">
        <v>235</v>
      </c>
      <c r="C21" s="13" t="s">
        <v>236</v>
      </c>
      <c r="D21" s="13" t="s">
        <v>237</v>
      </c>
      <c r="E21" s="13" t="s">
        <v>112</v>
      </c>
      <c r="F21" s="13"/>
      <c r="G21" s="13"/>
      <c r="H21" s="13"/>
      <c r="I21" s="13"/>
      <c r="J21" s="13"/>
    </row>
    <row r="22" customFormat="false" ht="42" hidden="false" customHeight="true" outlineLevel="0" collapsed="false">
      <c r="A22" s="14" t="n">
        <v>14</v>
      </c>
      <c r="B22" s="15" t="s">
        <v>235</v>
      </c>
      <c r="C22" s="15" t="s">
        <v>238</v>
      </c>
      <c r="D22" s="15" t="s">
        <v>239</v>
      </c>
      <c r="E22" s="15" t="s">
        <v>112</v>
      </c>
      <c r="F22" s="15"/>
      <c r="G22" s="15"/>
      <c r="H22" s="15"/>
      <c r="I22" s="15"/>
      <c r="J22" s="15"/>
    </row>
    <row r="23" customFormat="false" ht="42" hidden="false" customHeight="true" outlineLevel="0" collapsed="false">
      <c r="A23" s="12" t="n">
        <v>15</v>
      </c>
      <c r="B23" s="13" t="s">
        <v>235</v>
      </c>
      <c r="C23" s="13" t="s">
        <v>240</v>
      </c>
      <c r="D23" s="13" t="s">
        <v>241</v>
      </c>
      <c r="E23" s="13" t="s">
        <v>112</v>
      </c>
      <c r="F23" s="13"/>
      <c r="G23" s="13"/>
      <c r="H23" s="13"/>
      <c r="I23" s="13"/>
      <c r="J23" s="13"/>
    </row>
    <row r="24" customFormat="false" ht="42" hidden="false" customHeight="true" outlineLevel="0" collapsed="false">
      <c r="A24" s="14" t="n">
        <v>16</v>
      </c>
      <c r="B24" s="15" t="s">
        <v>235</v>
      </c>
      <c r="C24" s="15" t="s">
        <v>242</v>
      </c>
      <c r="D24" s="15" t="s">
        <v>243</v>
      </c>
      <c r="E24" s="15" t="s">
        <v>112</v>
      </c>
      <c r="F24" s="15"/>
      <c r="G24" s="15"/>
      <c r="H24" s="15"/>
      <c r="I24" s="15"/>
      <c r="J24" s="15"/>
    </row>
    <row r="25" customFormat="false" ht="21.75" hidden="false" customHeight="true" outlineLevel="0" collapsed="false">
      <c r="A25" s="11" t="s">
        <v>244</v>
      </c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42" hidden="false" customHeight="true" outlineLevel="0" collapsed="false">
      <c r="A26" s="12" t="n">
        <v>17</v>
      </c>
      <c r="B26" s="13" t="s">
        <v>244</v>
      </c>
      <c r="C26" s="13" t="s">
        <v>245</v>
      </c>
      <c r="D26" s="13" t="s">
        <v>246</v>
      </c>
      <c r="E26" s="13" t="s">
        <v>69</v>
      </c>
      <c r="F26" s="13"/>
      <c r="G26" s="13"/>
      <c r="H26" s="13"/>
      <c r="I26" s="13"/>
      <c r="J26" s="13"/>
    </row>
    <row r="27" customFormat="false" ht="42" hidden="false" customHeight="true" outlineLevel="0" collapsed="false">
      <c r="A27" s="14" t="n">
        <v>18</v>
      </c>
      <c r="B27" s="15" t="s">
        <v>244</v>
      </c>
      <c r="C27" s="15" t="s">
        <v>247</v>
      </c>
      <c r="D27" s="15" t="s">
        <v>248</v>
      </c>
      <c r="E27" s="15" t="s">
        <v>74</v>
      </c>
      <c r="F27" s="15"/>
      <c r="G27" s="15"/>
      <c r="H27" s="15"/>
      <c r="I27" s="15"/>
      <c r="J27" s="15"/>
    </row>
    <row r="28" customFormat="false" ht="42" hidden="false" customHeight="true" outlineLevel="0" collapsed="false">
      <c r="A28" s="12" t="n">
        <v>19</v>
      </c>
      <c r="B28" s="13" t="s">
        <v>244</v>
      </c>
      <c r="C28" s="13" t="s">
        <v>249</v>
      </c>
      <c r="D28" s="13" t="s">
        <v>250</v>
      </c>
      <c r="E28" s="13" t="s">
        <v>112</v>
      </c>
      <c r="F28" s="13"/>
      <c r="G28" s="13"/>
      <c r="H28" s="13"/>
      <c r="I28" s="13"/>
      <c r="J28" s="13"/>
    </row>
    <row r="29" customFormat="false" ht="42" hidden="false" customHeight="true" outlineLevel="0" collapsed="false">
      <c r="A29" s="14" t="n">
        <v>20</v>
      </c>
      <c r="B29" s="15" t="s">
        <v>244</v>
      </c>
      <c r="C29" s="15" t="s">
        <v>251</v>
      </c>
      <c r="D29" s="15" t="s">
        <v>252</v>
      </c>
      <c r="E29" s="15" t="s">
        <v>112</v>
      </c>
      <c r="F29" s="15"/>
      <c r="G29" s="15"/>
      <c r="H29" s="15"/>
      <c r="I29" s="15"/>
      <c r="J29" s="15"/>
    </row>
    <row r="30" customFormat="false" ht="42" hidden="false" customHeight="true" outlineLevel="0" collapsed="false">
      <c r="A30" s="12" t="n">
        <v>21</v>
      </c>
      <c r="B30" s="13" t="s">
        <v>244</v>
      </c>
      <c r="C30" s="13" t="s">
        <v>253</v>
      </c>
      <c r="D30" s="13" t="s">
        <v>254</v>
      </c>
      <c r="E30" s="13" t="s">
        <v>112</v>
      </c>
      <c r="F30" s="13"/>
      <c r="G30" s="13"/>
      <c r="H30" s="13"/>
      <c r="I30" s="13"/>
      <c r="J30" s="13"/>
    </row>
    <row r="31" customFormat="false" ht="21.75" hidden="false" customHeight="true" outlineLevel="0" collapsed="false">
      <c r="A31" s="11" t="s">
        <v>255</v>
      </c>
      <c r="B31" s="11"/>
      <c r="C31" s="11"/>
      <c r="D31" s="11"/>
      <c r="E31" s="11"/>
      <c r="F31" s="11"/>
      <c r="G31" s="11"/>
      <c r="H31" s="11"/>
      <c r="I31" s="11"/>
      <c r="J31" s="11"/>
    </row>
    <row r="32" customFormat="false" ht="42" hidden="false" customHeight="true" outlineLevel="0" collapsed="false">
      <c r="A32" s="14" t="n">
        <v>22</v>
      </c>
      <c r="B32" s="15" t="s">
        <v>255</v>
      </c>
      <c r="C32" s="15" t="s">
        <v>256</v>
      </c>
      <c r="D32" s="15" t="s">
        <v>257</v>
      </c>
      <c r="E32" s="15" t="s">
        <v>82</v>
      </c>
      <c r="F32" s="15"/>
      <c r="G32" s="15"/>
      <c r="H32" s="15"/>
      <c r="I32" s="15"/>
      <c r="J32" s="15"/>
    </row>
    <row r="33" customFormat="false" ht="42" hidden="false" customHeight="true" outlineLevel="0" collapsed="false">
      <c r="A33" s="12" t="n">
        <v>23</v>
      </c>
      <c r="B33" s="13" t="s">
        <v>255</v>
      </c>
      <c r="C33" s="13" t="s">
        <v>258</v>
      </c>
      <c r="D33" s="13" t="s">
        <v>259</v>
      </c>
      <c r="E33" s="13" t="s">
        <v>112</v>
      </c>
      <c r="F33" s="13"/>
      <c r="G33" s="13"/>
      <c r="H33" s="13"/>
      <c r="I33" s="13"/>
      <c r="J33" s="13"/>
    </row>
    <row r="34" customFormat="false" ht="42" hidden="false" customHeight="true" outlineLevel="0" collapsed="false">
      <c r="A34" s="14" t="n">
        <v>24</v>
      </c>
      <c r="B34" s="15" t="s">
        <v>255</v>
      </c>
      <c r="C34" s="15" t="s">
        <v>260</v>
      </c>
      <c r="D34" s="15" t="s">
        <v>261</v>
      </c>
      <c r="E34" s="15" t="s">
        <v>82</v>
      </c>
      <c r="F34" s="15"/>
      <c r="G34" s="15"/>
      <c r="H34" s="15"/>
      <c r="I34" s="15"/>
      <c r="J34" s="15"/>
    </row>
    <row r="35" customFormat="false" ht="42" hidden="false" customHeight="true" outlineLevel="0" collapsed="false">
      <c r="A35" s="12" t="n">
        <v>25</v>
      </c>
      <c r="B35" s="13" t="s">
        <v>255</v>
      </c>
      <c r="C35" s="13" t="s">
        <v>262</v>
      </c>
      <c r="D35" s="13" t="s">
        <v>263</v>
      </c>
      <c r="E35" s="13" t="s">
        <v>74</v>
      </c>
      <c r="F35" s="13"/>
      <c r="G35" s="13"/>
      <c r="H35" s="13"/>
      <c r="I35" s="13"/>
      <c r="J35" s="13"/>
    </row>
    <row r="36" customFormat="false" ht="21.75" hidden="false" customHeight="true" outlineLevel="0" collapsed="false">
      <c r="A36" s="11" t="s">
        <v>264</v>
      </c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42" hidden="false" customHeight="true" outlineLevel="0" collapsed="false">
      <c r="A37" s="14" t="n">
        <v>26</v>
      </c>
      <c r="B37" s="15" t="s">
        <v>264</v>
      </c>
      <c r="C37" s="15" t="s">
        <v>265</v>
      </c>
      <c r="D37" s="15" t="s">
        <v>266</v>
      </c>
      <c r="E37" s="15" t="s">
        <v>69</v>
      </c>
      <c r="F37" s="15"/>
      <c r="G37" s="15"/>
      <c r="H37" s="15"/>
      <c r="I37" s="15"/>
      <c r="J37" s="15"/>
    </row>
    <row r="38" customFormat="false" ht="42" hidden="false" customHeight="true" outlineLevel="0" collapsed="false">
      <c r="A38" s="12" t="n">
        <v>27</v>
      </c>
      <c r="B38" s="13" t="s">
        <v>264</v>
      </c>
      <c r="C38" s="13" t="s">
        <v>267</v>
      </c>
      <c r="D38" s="13" t="s">
        <v>268</v>
      </c>
      <c r="E38" s="13" t="s">
        <v>112</v>
      </c>
      <c r="F38" s="13"/>
      <c r="G38" s="13"/>
      <c r="H38" s="13"/>
      <c r="I38" s="13"/>
      <c r="J38" s="13"/>
    </row>
    <row r="39" customFormat="false" ht="42" hidden="false" customHeight="true" outlineLevel="0" collapsed="false">
      <c r="A39" s="14" t="n">
        <v>28</v>
      </c>
      <c r="B39" s="15" t="s">
        <v>264</v>
      </c>
      <c r="C39" s="15" t="s">
        <v>269</v>
      </c>
      <c r="D39" s="15" t="s">
        <v>270</v>
      </c>
      <c r="E39" s="15" t="s">
        <v>69</v>
      </c>
      <c r="F39" s="15"/>
      <c r="G39" s="15"/>
      <c r="H39" s="15"/>
      <c r="I39" s="15"/>
      <c r="J39" s="15"/>
    </row>
    <row r="40" customFormat="false" ht="42" hidden="false" customHeight="true" outlineLevel="0" collapsed="false">
      <c r="A40" s="12" t="n">
        <v>29</v>
      </c>
      <c r="B40" s="13" t="s">
        <v>264</v>
      </c>
      <c r="C40" s="13" t="s">
        <v>271</v>
      </c>
      <c r="D40" s="13" t="s">
        <v>272</v>
      </c>
      <c r="E40" s="13" t="s">
        <v>112</v>
      </c>
      <c r="F40" s="13"/>
      <c r="G40" s="13"/>
      <c r="H40" s="13"/>
      <c r="I40" s="13"/>
      <c r="J40" s="13"/>
    </row>
  </sheetData>
  <mergeCells count="9">
    <mergeCell ref="A1:J1"/>
    <mergeCell ref="A2:J2"/>
    <mergeCell ref="A5:J5"/>
    <mergeCell ref="A10:J10"/>
    <mergeCell ref="A15:J15"/>
    <mergeCell ref="A20:J20"/>
    <mergeCell ref="A25:J25"/>
    <mergeCell ref="A31:J31"/>
    <mergeCell ref="A36:J36"/>
  </mergeCells>
  <dataValidations count="2">
    <dataValidation allowBlank="true" errorStyle="stop" operator="between" showDropDown="false" showErrorMessage="false" showInputMessage="false" sqref="I5:I40" type="list">
      <formula1>"Must,Should,Nice"</formula1>
      <formula2>0</formula2>
    </dataValidation>
    <dataValidation allowBlank="true" errorStyle="stop" operator="between" showDropDown="false" showErrorMessage="false" showInputMessage="false" sqref="J5:J40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29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30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273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273</v>
      </c>
      <c r="C6" s="13" t="s">
        <v>274</v>
      </c>
      <c r="D6" s="13" t="s">
        <v>275</v>
      </c>
      <c r="E6" s="13" t="s">
        <v>82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273</v>
      </c>
      <c r="C7" s="15" t="s">
        <v>276</v>
      </c>
      <c r="D7" s="15" t="s">
        <v>277</v>
      </c>
      <c r="E7" s="15" t="s">
        <v>74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273</v>
      </c>
      <c r="C8" s="13" t="s">
        <v>278</v>
      </c>
      <c r="D8" s="13" t="s">
        <v>279</v>
      </c>
      <c r="E8" s="13" t="s">
        <v>74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273</v>
      </c>
      <c r="C9" s="15" t="s">
        <v>280</v>
      </c>
      <c r="D9" s="15" t="s">
        <v>281</v>
      </c>
      <c r="E9" s="15" t="s">
        <v>74</v>
      </c>
      <c r="F9" s="15"/>
      <c r="G9" s="15"/>
      <c r="H9" s="15"/>
      <c r="I9" s="15"/>
      <c r="J9" s="15"/>
    </row>
    <row r="10" customFormat="false" ht="21.75" hidden="false" customHeight="true" outlineLevel="0" collapsed="false">
      <c r="A10" s="11" t="s">
        <v>282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42" hidden="false" customHeight="true" outlineLevel="0" collapsed="false">
      <c r="A11" s="12" t="n">
        <v>5</v>
      </c>
      <c r="B11" s="13" t="s">
        <v>282</v>
      </c>
      <c r="C11" s="13" t="s">
        <v>283</v>
      </c>
      <c r="D11" s="13" t="s">
        <v>284</v>
      </c>
      <c r="E11" s="13" t="s">
        <v>69</v>
      </c>
      <c r="F11" s="13"/>
      <c r="G11" s="13"/>
      <c r="H11" s="13"/>
      <c r="I11" s="13"/>
      <c r="J11" s="13"/>
    </row>
    <row r="12" customFormat="false" ht="42" hidden="false" customHeight="true" outlineLevel="0" collapsed="false">
      <c r="A12" s="14" t="n">
        <v>6</v>
      </c>
      <c r="B12" s="15" t="s">
        <v>282</v>
      </c>
      <c r="C12" s="15" t="s">
        <v>285</v>
      </c>
      <c r="D12" s="15" t="s">
        <v>286</v>
      </c>
      <c r="E12" s="15" t="s">
        <v>112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282</v>
      </c>
      <c r="C13" s="13" t="s">
        <v>287</v>
      </c>
      <c r="D13" s="13" t="s">
        <v>288</v>
      </c>
      <c r="E13" s="13" t="s">
        <v>74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282</v>
      </c>
      <c r="C14" s="15" t="s">
        <v>289</v>
      </c>
      <c r="D14" s="15" t="s">
        <v>290</v>
      </c>
      <c r="E14" s="15" t="s">
        <v>69</v>
      </c>
      <c r="F14" s="15"/>
      <c r="G14" s="15"/>
      <c r="H14" s="15"/>
      <c r="I14" s="15"/>
      <c r="J14" s="15"/>
    </row>
    <row r="15" customFormat="false" ht="21.75" hidden="false" customHeight="true" outlineLevel="0" collapsed="false">
      <c r="A15" s="11" t="s">
        <v>291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42" hidden="false" customHeight="true" outlineLevel="0" collapsed="false">
      <c r="A16" s="12" t="n">
        <v>9</v>
      </c>
      <c r="B16" s="13" t="s">
        <v>291</v>
      </c>
      <c r="C16" s="13" t="s">
        <v>292</v>
      </c>
      <c r="D16" s="13" t="s">
        <v>293</v>
      </c>
      <c r="E16" s="13" t="s">
        <v>82</v>
      </c>
      <c r="F16" s="13"/>
      <c r="G16" s="13"/>
      <c r="H16" s="13"/>
      <c r="I16" s="13"/>
      <c r="J16" s="13"/>
    </row>
    <row r="17" customFormat="false" ht="42" hidden="false" customHeight="true" outlineLevel="0" collapsed="false">
      <c r="A17" s="14" t="n">
        <v>10</v>
      </c>
      <c r="B17" s="15" t="s">
        <v>291</v>
      </c>
      <c r="C17" s="15" t="s">
        <v>294</v>
      </c>
      <c r="D17" s="15" t="s">
        <v>295</v>
      </c>
      <c r="E17" s="15" t="s">
        <v>69</v>
      </c>
      <c r="F17" s="15"/>
      <c r="G17" s="15"/>
      <c r="H17" s="15"/>
      <c r="I17" s="15"/>
      <c r="J17" s="15"/>
    </row>
    <row r="18" customFormat="false" ht="42" hidden="false" customHeight="true" outlineLevel="0" collapsed="false">
      <c r="A18" s="12" t="n">
        <v>11</v>
      </c>
      <c r="B18" s="13" t="s">
        <v>291</v>
      </c>
      <c r="C18" s="13" t="s">
        <v>296</v>
      </c>
      <c r="D18" s="13" t="s">
        <v>297</v>
      </c>
      <c r="E18" s="13" t="s">
        <v>74</v>
      </c>
      <c r="F18" s="13"/>
      <c r="G18" s="13"/>
      <c r="H18" s="13"/>
      <c r="I18" s="13"/>
      <c r="J18" s="13"/>
    </row>
    <row r="19" customFormat="false" ht="42" hidden="false" customHeight="true" outlineLevel="0" collapsed="false">
      <c r="A19" s="14" t="n">
        <v>12</v>
      </c>
      <c r="B19" s="15" t="s">
        <v>291</v>
      </c>
      <c r="C19" s="15" t="s">
        <v>298</v>
      </c>
      <c r="D19" s="15" t="s">
        <v>299</v>
      </c>
      <c r="E19" s="15" t="s">
        <v>69</v>
      </c>
      <c r="F19" s="15"/>
      <c r="G19" s="15"/>
      <c r="H19" s="15"/>
      <c r="I19" s="15"/>
      <c r="J19" s="15"/>
    </row>
    <row r="20" customFormat="false" ht="42" hidden="false" customHeight="true" outlineLevel="0" collapsed="false">
      <c r="A20" s="12" t="n">
        <v>13</v>
      </c>
      <c r="B20" s="13" t="s">
        <v>291</v>
      </c>
      <c r="C20" s="13" t="s">
        <v>300</v>
      </c>
      <c r="D20" s="13" t="s">
        <v>301</v>
      </c>
      <c r="E20" s="13" t="s">
        <v>112</v>
      </c>
      <c r="F20" s="13"/>
      <c r="G20" s="13"/>
      <c r="H20" s="13"/>
      <c r="I20" s="13"/>
      <c r="J20" s="13"/>
    </row>
    <row r="21" customFormat="false" ht="21.75" hidden="false" customHeight="true" outlineLevel="0" collapsed="false">
      <c r="A21" s="11" t="s">
        <v>302</v>
      </c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42" hidden="false" customHeight="true" outlineLevel="0" collapsed="false">
      <c r="A22" s="14" t="n">
        <v>14</v>
      </c>
      <c r="B22" s="15" t="s">
        <v>302</v>
      </c>
      <c r="C22" s="15" t="s">
        <v>303</v>
      </c>
      <c r="D22" s="15" t="s">
        <v>304</v>
      </c>
      <c r="E22" s="15" t="s">
        <v>82</v>
      </c>
      <c r="F22" s="15"/>
      <c r="G22" s="15"/>
      <c r="H22" s="15"/>
      <c r="I22" s="15"/>
      <c r="J22" s="15"/>
    </row>
    <row r="23" customFormat="false" ht="42" hidden="false" customHeight="true" outlineLevel="0" collapsed="false">
      <c r="A23" s="12" t="n">
        <v>15</v>
      </c>
      <c r="B23" s="13" t="s">
        <v>302</v>
      </c>
      <c r="C23" s="13" t="s">
        <v>305</v>
      </c>
      <c r="D23" s="13" t="s">
        <v>306</v>
      </c>
      <c r="E23" s="13" t="s">
        <v>69</v>
      </c>
      <c r="F23" s="13"/>
      <c r="G23" s="13"/>
      <c r="H23" s="13"/>
      <c r="I23" s="13"/>
      <c r="J23" s="13"/>
    </row>
    <row r="24" customFormat="false" ht="42" hidden="false" customHeight="true" outlineLevel="0" collapsed="false">
      <c r="A24" s="14" t="n">
        <v>16</v>
      </c>
      <c r="B24" s="15" t="s">
        <v>302</v>
      </c>
      <c r="C24" s="15" t="s">
        <v>307</v>
      </c>
      <c r="D24" s="15" t="s">
        <v>308</v>
      </c>
      <c r="E24" s="15" t="s">
        <v>74</v>
      </c>
      <c r="F24" s="15"/>
      <c r="G24" s="15"/>
      <c r="H24" s="15"/>
      <c r="I24" s="15"/>
      <c r="J24" s="15"/>
    </row>
    <row r="25" customFormat="false" ht="42" hidden="false" customHeight="true" outlineLevel="0" collapsed="false">
      <c r="A25" s="12" t="n">
        <v>17</v>
      </c>
      <c r="B25" s="13" t="s">
        <v>302</v>
      </c>
      <c r="C25" s="13" t="s">
        <v>309</v>
      </c>
      <c r="D25" s="13" t="s">
        <v>310</v>
      </c>
      <c r="E25" s="13" t="s">
        <v>69</v>
      </c>
      <c r="F25" s="13"/>
      <c r="G25" s="13"/>
      <c r="H25" s="13"/>
      <c r="I25" s="13"/>
      <c r="J25" s="13"/>
    </row>
    <row r="26" customFormat="false" ht="21.75" hidden="false" customHeight="true" outlineLevel="0" collapsed="false">
      <c r="A26" s="11" t="s">
        <v>311</v>
      </c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42" hidden="false" customHeight="true" outlineLevel="0" collapsed="false">
      <c r="A27" s="14" t="n">
        <v>18</v>
      </c>
      <c r="B27" s="15" t="s">
        <v>311</v>
      </c>
      <c r="C27" s="15" t="s">
        <v>312</v>
      </c>
      <c r="D27" s="15" t="s">
        <v>313</v>
      </c>
      <c r="E27" s="15" t="s">
        <v>82</v>
      </c>
      <c r="F27" s="15"/>
      <c r="G27" s="15"/>
      <c r="H27" s="15"/>
      <c r="I27" s="15"/>
      <c r="J27" s="15"/>
    </row>
    <row r="28" customFormat="false" ht="42" hidden="false" customHeight="true" outlineLevel="0" collapsed="false">
      <c r="A28" s="12" t="n">
        <v>19</v>
      </c>
      <c r="B28" s="13" t="s">
        <v>311</v>
      </c>
      <c r="C28" s="13" t="s">
        <v>314</v>
      </c>
      <c r="D28" s="13" t="s">
        <v>315</v>
      </c>
      <c r="E28" s="13" t="s">
        <v>112</v>
      </c>
      <c r="F28" s="13"/>
      <c r="G28" s="13"/>
      <c r="H28" s="13"/>
      <c r="I28" s="13"/>
      <c r="J28" s="13"/>
    </row>
    <row r="29" customFormat="false" ht="42" hidden="false" customHeight="true" outlineLevel="0" collapsed="false">
      <c r="A29" s="14" t="n">
        <v>20</v>
      </c>
      <c r="B29" s="15" t="s">
        <v>311</v>
      </c>
      <c r="C29" s="15" t="s">
        <v>316</v>
      </c>
      <c r="D29" s="15" t="s">
        <v>317</v>
      </c>
      <c r="E29" s="15" t="s">
        <v>112</v>
      </c>
      <c r="F29" s="15"/>
      <c r="G29" s="15"/>
      <c r="H29" s="15"/>
      <c r="I29" s="15"/>
      <c r="J29" s="15"/>
    </row>
  </sheetData>
  <mergeCells count="7">
    <mergeCell ref="A1:J1"/>
    <mergeCell ref="A2:J2"/>
    <mergeCell ref="A5:J5"/>
    <mergeCell ref="A10:J10"/>
    <mergeCell ref="A15:J15"/>
    <mergeCell ref="A21:J21"/>
    <mergeCell ref="A26:J26"/>
  </mergeCells>
  <dataValidations count="2">
    <dataValidation allowBlank="true" errorStyle="stop" operator="between" showDropDown="false" showErrorMessage="false" showInputMessage="false" sqref="I5:I29" type="list">
      <formula1>"Must,Should,Nice"</formula1>
      <formula2>0</formula2>
    </dataValidation>
    <dataValidation allowBlank="true" errorStyle="stop" operator="between" showDropDown="false" showErrorMessage="false" showInputMessage="false" sqref="J5:J29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31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318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318</v>
      </c>
      <c r="C6" s="13" t="s">
        <v>319</v>
      </c>
      <c r="D6" s="13" t="s">
        <v>320</v>
      </c>
      <c r="E6" s="13" t="s">
        <v>74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318</v>
      </c>
      <c r="C7" s="15" t="s">
        <v>321</v>
      </c>
      <c r="D7" s="15" t="s">
        <v>322</v>
      </c>
      <c r="E7" s="15" t="s">
        <v>69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318</v>
      </c>
      <c r="C8" s="13" t="s">
        <v>323</v>
      </c>
      <c r="D8" s="13" t="s">
        <v>324</v>
      </c>
      <c r="E8" s="13" t="s">
        <v>112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318</v>
      </c>
      <c r="C9" s="15" t="s">
        <v>325</v>
      </c>
      <c r="D9" s="15" t="s">
        <v>326</v>
      </c>
      <c r="E9" s="15" t="s">
        <v>74</v>
      </c>
      <c r="F9" s="15"/>
      <c r="G9" s="15"/>
      <c r="H9" s="15"/>
      <c r="I9" s="15"/>
      <c r="J9" s="15"/>
    </row>
    <row r="10" customFormat="false" ht="21.75" hidden="false" customHeight="true" outlineLevel="0" collapsed="false">
      <c r="A10" s="11" t="s">
        <v>327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42" hidden="false" customHeight="true" outlineLevel="0" collapsed="false">
      <c r="A11" s="12" t="n">
        <v>5</v>
      </c>
      <c r="B11" s="13" t="s">
        <v>327</v>
      </c>
      <c r="C11" s="13" t="s">
        <v>328</v>
      </c>
      <c r="D11" s="13" t="s">
        <v>329</v>
      </c>
      <c r="E11" s="13" t="s">
        <v>69</v>
      </c>
      <c r="F11" s="13"/>
      <c r="G11" s="13"/>
      <c r="H11" s="13"/>
      <c r="I11" s="13"/>
      <c r="J11" s="13"/>
    </row>
    <row r="12" customFormat="false" ht="42" hidden="false" customHeight="true" outlineLevel="0" collapsed="false">
      <c r="A12" s="14" t="n">
        <v>6</v>
      </c>
      <c r="B12" s="15" t="s">
        <v>327</v>
      </c>
      <c r="C12" s="15" t="s">
        <v>330</v>
      </c>
      <c r="D12" s="15" t="s">
        <v>331</v>
      </c>
      <c r="E12" s="15" t="s">
        <v>69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327</v>
      </c>
      <c r="C13" s="13" t="s">
        <v>332</v>
      </c>
      <c r="D13" s="13" t="s">
        <v>333</v>
      </c>
      <c r="E13" s="13" t="s">
        <v>69</v>
      </c>
      <c r="F13" s="13"/>
      <c r="G13" s="13"/>
      <c r="H13" s="13"/>
      <c r="I13" s="13"/>
      <c r="J13" s="13"/>
    </row>
    <row r="14" customFormat="false" ht="21.75" hidden="false" customHeight="true" outlineLevel="0" collapsed="false">
      <c r="A14" s="11" t="s">
        <v>334</v>
      </c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42" hidden="false" customHeight="true" outlineLevel="0" collapsed="false">
      <c r="A15" s="14" t="n">
        <v>8</v>
      </c>
      <c r="B15" s="15" t="s">
        <v>334</v>
      </c>
      <c r="C15" s="15" t="s">
        <v>335</v>
      </c>
      <c r="D15" s="15" t="s">
        <v>336</v>
      </c>
      <c r="E15" s="15" t="s">
        <v>82</v>
      </c>
      <c r="F15" s="15"/>
      <c r="G15" s="15"/>
      <c r="H15" s="15"/>
      <c r="I15" s="15"/>
      <c r="J15" s="15"/>
    </row>
    <row r="16" customFormat="false" ht="42" hidden="false" customHeight="true" outlineLevel="0" collapsed="false">
      <c r="A16" s="12" t="n">
        <v>9</v>
      </c>
      <c r="B16" s="13" t="s">
        <v>334</v>
      </c>
      <c r="C16" s="13" t="s">
        <v>337</v>
      </c>
      <c r="D16" s="13" t="s">
        <v>338</v>
      </c>
      <c r="E16" s="13" t="s">
        <v>82</v>
      </c>
      <c r="F16" s="13"/>
      <c r="G16" s="13"/>
      <c r="H16" s="13"/>
      <c r="I16" s="13"/>
      <c r="J16" s="13"/>
    </row>
    <row r="17" customFormat="false" ht="42" hidden="false" customHeight="true" outlineLevel="0" collapsed="false">
      <c r="A17" s="14" t="n">
        <v>10</v>
      </c>
      <c r="B17" s="15" t="s">
        <v>334</v>
      </c>
      <c r="C17" s="15" t="s">
        <v>339</v>
      </c>
      <c r="D17" s="15" t="s">
        <v>340</v>
      </c>
      <c r="E17" s="15" t="s">
        <v>112</v>
      </c>
      <c r="F17" s="15"/>
      <c r="G17" s="15"/>
      <c r="H17" s="15"/>
      <c r="I17" s="15"/>
      <c r="J17" s="15"/>
    </row>
    <row r="18" customFormat="false" ht="42" hidden="false" customHeight="true" outlineLevel="0" collapsed="false">
      <c r="A18" s="12" t="n">
        <v>11</v>
      </c>
      <c r="B18" s="13" t="s">
        <v>334</v>
      </c>
      <c r="C18" s="13" t="s">
        <v>341</v>
      </c>
      <c r="D18" s="13" t="s">
        <v>342</v>
      </c>
      <c r="E18" s="13" t="s">
        <v>69</v>
      </c>
      <c r="F18" s="13"/>
      <c r="G18" s="13"/>
      <c r="H18" s="13"/>
      <c r="I18" s="13"/>
      <c r="J18" s="13"/>
    </row>
    <row r="19" customFormat="false" ht="21.75" hidden="false" customHeight="true" outlineLevel="0" collapsed="false">
      <c r="A19" s="11" t="s">
        <v>343</v>
      </c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42" hidden="false" customHeight="true" outlineLevel="0" collapsed="false">
      <c r="A20" s="14" t="n">
        <v>12</v>
      </c>
      <c r="B20" s="15" t="s">
        <v>343</v>
      </c>
      <c r="C20" s="15" t="s">
        <v>344</v>
      </c>
      <c r="D20" s="15" t="s">
        <v>345</v>
      </c>
      <c r="E20" s="15" t="s">
        <v>112</v>
      </c>
      <c r="F20" s="15"/>
      <c r="G20" s="15"/>
      <c r="H20" s="15"/>
      <c r="I20" s="15"/>
      <c r="J20" s="15"/>
    </row>
    <row r="21" customFormat="false" ht="42" hidden="false" customHeight="true" outlineLevel="0" collapsed="false">
      <c r="A21" s="12" t="n">
        <v>13</v>
      </c>
      <c r="B21" s="13" t="s">
        <v>343</v>
      </c>
      <c r="C21" s="13" t="s">
        <v>346</v>
      </c>
      <c r="D21" s="13" t="s">
        <v>347</v>
      </c>
      <c r="E21" s="13" t="s">
        <v>74</v>
      </c>
      <c r="F21" s="13"/>
      <c r="G21" s="13"/>
      <c r="H21" s="13"/>
      <c r="I21" s="13"/>
      <c r="J21" s="13"/>
    </row>
    <row r="22" customFormat="false" ht="42" hidden="false" customHeight="true" outlineLevel="0" collapsed="false">
      <c r="A22" s="14" t="n">
        <v>14</v>
      </c>
      <c r="B22" s="15" t="s">
        <v>343</v>
      </c>
      <c r="C22" s="15" t="s">
        <v>348</v>
      </c>
      <c r="D22" s="15" t="s">
        <v>349</v>
      </c>
      <c r="E22" s="15" t="s">
        <v>112</v>
      </c>
      <c r="F22" s="15"/>
      <c r="G22" s="15"/>
      <c r="H22" s="15"/>
      <c r="I22" s="15"/>
      <c r="J22" s="15"/>
    </row>
  </sheetData>
  <mergeCells count="6">
    <mergeCell ref="A1:J1"/>
    <mergeCell ref="A2:J2"/>
    <mergeCell ref="A5:J5"/>
    <mergeCell ref="A10:J10"/>
    <mergeCell ref="A14:J14"/>
    <mergeCell ref="A19:J19"/>
  </mergeCells>
  <dataValidations count="2">
    <dataValidation allowBlank="true" errorStyle="stop" operator="between" showDropDown="false" showErrorMessage="false" showInputMessage="false" sqref="I5:I22" type="list">
      <formula1>"Must,Should,Nice"</formula1>
      <formula2>0</formula2>
    </dataValidation>
    <dataValidation allowBlank="true" errorStyle="stop" operator="between" showDropDown="false" showErrorMessage="false" showInputMessage="false" sqref="J5:J22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33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34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350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350</v>
      </c>
      <c r="C6" s="13" t="s">
        <v>351</v>
      </c>
      <c r="D6" s="13" t="s">
        <v>352</v>
      </c>
      <c r="E6" s="13" t="s">
        <v>82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350</v>
      </c>
      <c r="C7" s="15" t="s">
        <v>353</v>
      </c>
      <c r="D7" s="15" t="s">
        <v>354</v>
      </c>
      <c r="E7" s="15" t="s">
        <v>112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350</v>
      </c>
      <c r="C8" s="13" t="s">
        <v>355</v>
      </c>
      <c r="D8" s="13" t="s">
        <v>356</v>
      </c>
      <c r="E8" s="13" t="s">
        <v>112</v>
      </c>
      <c r="F8" s="13"/>
      <c r="G8" s="13"/>
      <c r="H8" s="13"/>
      <c r="I8" s="13"/>
      <c r="J8" s="13"/>
    </row>
    <row r="9" customFormat="false" ht="21.75" hidden="false" customHeight="true" outlineLevel="0" collapsed="false">
      <c r="A9" s="11" t="s">
        <v>357</v>
      </c>
      <c r="B9" s="11"/>
      <c r="C9" s="11"/>
      <c r="D9" s="11"/>
      <c r="E9" s="11"/>
      <c r="F9" s="11"/>
      <c r="G9" s="11"/>
      <c r="H9" s="11"/>
      <c r="I9" s="11"/>
      <c r="J9" s="11"/>
    </row>
    <row r="10" customFormat="false" ht="42" hidden="false" customHeight="true" outlineLevel="0" collapsed="false">
      <c r="A10" s="14" t="n">
        <v>4</v>
      </c>
      <c r="B10" s="15" t="s">
        <v>357</v>
      </c>
      <c r="C10" s="15" t="s">
        <v>358</v>
      </c>
      <c r="D10" s="15" t="s">
        <v>359</v>
      </c>
      <c r="E10" s="15" t="s">
        <v>112</v>
      </c>
      <c r="F10" s="15"/>
      <c r="G10" s="15"/>
      <c r="H10" s="15"/>
      <c r="I10" s="15"/>
      <c r="J10" s="15"/>
    </row>
    <row r="11" customFormat="false" ht="42" hidden="false" customHeight="true" outlineLevel="0" collapsed="false">
      <c r="A11" s="12" t="n">
        <v>5</v>
      </c>
      <c r="B11" s="13" t="s">
        <v>357</v>
      </c>
      <c r="C11" s="13" t="s">
        <v>360</v>
      </c>
      <c r="D11" s="13" t="s">
        <v>361</v>
      </c>
      <c r="E11" s="13" t="s">
        <v>112</v>
      </c>
      <c r="F11" s="13"/>
      <c r="G11" s="13"/>
      <c r="H11" s="13"/>
      <c r="I11" s="13"/>
      <c r="J11" s="13"/>
    </row>
    <row r="12" customFormat="false" ht="42" hidden="false" customHeight="true" outlineLevel="0" collapsed="false">
      <c r="A12" s="14" t="n">
        <v>6</v>
      </c>
      <c r="B12" s="15" t="s">
        <v>357</v>
      </c>
      <c r="C12" s="15" t="s">
        <v>362</v>
      </c>
      <c r="D12" s="15" t="s">
        <v>363</v>
      </c>
      <c r="E12" s="15" t="s">
        <v>69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357</v>
      </c>
      <c r="C13" s="13" t="s">
        <v>364</v>
      </c>
      <c r="D13" s="13" t="s">
        <v>365</v>
      </c>
      <c r="E13" s="13" t="s">
        <v>74</v>
      </c>
      <c r="F13" s="13"/>
      <c r="G13" s="13"/>
      <c r="H13" s="13"/>
      <c r="I13" s="13"/>
      <c r="J13" s="13"/>
    </row>
    <row r="14" customFormat="false" ht="21.75" hidden="false" customHeight="true" outlineLevel="0" collapsed="false">
      <c r="A14" s="11" t="s">
        <v>366</v>
      </c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42" hidden="false" customHeight="true" outlineLevel="0" collapsed="false">
      <c r="A15" s="14" t="n">
        <v>8</v>
      </c>
      <c r="B15" s="15" t="s">
        <v>366</v>
      </c>
      <c r="C15" s="15" t="s">
        <v>367</v>
      </c>
      <c r="D15" s="15" t="s">
        <v>368</v>
      </c>
      <c r="E15" s="15" t="s">
        <v>69</v>
      </c>
      <c r="F15" s="15"/>
      <c r="G15" s="15"/>
      <c r="H15" s="15"/>
      <c r="I15" s="15"/>
      <c r="J15" s="15"/>
    </row>
    <row r="16" customFormat="false" ht="42" hidden="false" customHeight="true" outlineLevel="0" collapsed="false">
      <c r="A16" s="12" t="n">
        <v>9</v>
      </c>
      <c r="B16" s="13" t="s">
        <v>366</v>
      </c>
      <c r="C16" s="13" t="s">
        <v>369</v>
      </c>
      <c r="D16" s="13" t="s">
        <v>370</v>
      </c>
      <c r="E16" s="13" t="s">
        <v>112</v>
      </c>
      <c r="F16" s="13"/>
      <c r="G16" s="13"/>
      <c r="H16" s="13"/>
      <c r="I16" s="13"/>
      <c r="J16" s="13"/>
    </row>
    <row r="17" customFormat="false" ht="42" hidden="false" customHeight="true" outlineLevel="0" collapsed="false">
      <c r="A17" s="14" t="n">
        <v>10</v>
      </c>
      <c r="B17" s="15" t="s">
        <v>366</v>
      </c>
      <c r="C17" s="15" t="s">
        <v>371</v>
      </c>
      <c r="D17" s="15" t="s">
        <v>372</v>
      </c>
      <c r="E17" s="15" t="s">
        <v>69</v>
      </c>
      <c r="F17" s="15"/>
      <c r="G17" s="15"/>
      <c r="H17" s="15"/>
      <c r="I17" s="15"/>
      <c r="J17" s="15"/>
    </row>
    <row r="18" customFormat="false" ht="42" hidden="false" customHeight="true" outlineLevel="0" collapsed="false">
      <c r="A18" s="12" t="n">
        <v>11</v>
      </c>
      <c r="B18" s="13" t="s">
        <v>366</v>
      </c>
      <c r="C18" s="13" t="s">
        <v>373</v>
      </c>
      <c r="D18" s="13" t="s">
        <v>374</v>
      </c>
      <c r="E18" s="13" t="s">
        <v>112</v>
      </c>
      <c r="F18" s="13"/>
      <c r="G18" s="13"/>
      <c r="H18" s="13"/>
      <c r="I18" s="13"/>
      <c r="J18" s="13"/>
    </row>
    <row r="19" customFormat="false" ht="21.75" hidden="false" customHeight="true" outlineLevel="0" collapsed="false">
      <c r="A19" s="11" t="s">
        <v>375</v>
      </c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42" hidden="false" customHeight="true" outlineLevel="0" collapsed="false">
      <c r="A20" s="14" t="n">
        <v>12</v>
      </c>
      <c r="B20" s="15" t="s">
        <v>375</v>
      </c>
      <c r="C20" s="15" t="s">
        <v>376</v>
      </c>
      <c r="D20" s="15" t="s">
        <v>377</v>
      </c>
      <c r="E20" s="15" t="s">
        <v>69</v>
      </c>
      <c r="F20" s="15"/>
      <c r="G20" s="15"/>
      <c r="H20" s="15"/>
      <c r="I20" s="15"/>
      <c r="J20" s="15"/>
    </row>
    <row r="21" customFormat="false" ht="42" hidden="false" customHeight="true" outlineLevel="0" collapsed="false">
      <c r="A21" s="12" t="n">
        <v>13</v>
      </c>
      <c r="B21" s="13" t="s">
        <v>375</v>
      </c>
      <c r="C21" s="13" t="s">
        <v>378</v>
      </c>
      <c r="D21" s="13" t="s">
        <v>379</v>
      </c>
      <c r="E21" s="13" t="s">
        <v>82</v>
      </c>
      <c r="F21" s="13"/>
      <c r="G21" s="13"/>
      <c r="H21" s="13"/>
      <c r="I21" s="13"/>
      <c r="J21" s="13"/>
    </row>
    <row r="22" customFormat="false" ht="42" hidden="false" customHeight="true" outlineLevel="0" collapsed="false">
      <c r="A22" s="14" t="n">
        <v>14</v>
      </c>
      <c r="B22" s="15" t="s">
        <v>375</v>
      </c>
      <c r="C22" s="15" t="s">
        <v>380</v>
      </c>
      <c r="D22" s="15" t="s">
        <v>381</v>
      </c>
      <c r="E22" s="15" t="s">
        <v>112</v>
      </c>
      <c r="F22" s="15"/>
      <c r="G22" s="15"/>
      <c r="H22" s="15"/>
      <c r="I22" s="15"/>
      <c r="J22" s="15"/>
    </row>
  </sheetData>
  <mergeCells count="6">
    <mergeCell ref="A1:J1"/>
    <mergeCell ref="A2:J2"/>
    <mergeCell ref="A5:J5"/>
    <mergeCell ref="A9:J9"/>
    <mergeCell ref="A14:J14"/>
    <mergeCell ref="A19:J19"/>
  </mergeCells>
  <dataValidations count="2">
    <dataValidation allowBlank="true" errorStyle="stop" operator="between" showDropDown="false" showErrorMessage="false" showInputMessage="false" sqref="I5:I22" type="list">
      <formula1>"Must,Should,Nice"</formula1>
      <formula2>0</formula2>
    </dataValidation>
    <dataValidation allowBlank="true" errorStyle="stop" operator="between" showDropDown="false" showErrorMessage="false" showInputMessage="false" sqref="J5:J22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35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36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382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382</v>
      </c>
      <c r="C6" s="13" t="s">
        <v>383</v>
      </c>
      <c r="D6" s="13" t="s">
        <v>384</v>
      </c>
      <c r="E6" s="13" t="s">
        <v>69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382</v>
      </c>
      <c r="C7" s="15" t="s">
        <v>385</v>
      </c>
      <c r="D7" s="15" t="s">
        <v>386</v>
      </c>
      <c r="E7" s="15" t="s">
        <v>69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382</v>
      </c>
      <c r="C8" s="13" t="s">
        <v>387</v>
      </c>
      <c r="D8" s="13" t="s">
        <v>388</v>
      </c>
      <c r="E8" s="13" t="s">
        <v>69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382</v>
      </c>
      <c r="C9" s="15" t="s">
        <v>389</v>
      </c>
      <c r="D9" s="15" t="s">
        <v>390</v>
      </c>
      <c r="E9" s="15" t="s">
        <v>98</v>
      </c>
      <c r="F9" s="15"/>
      <c r="G9" s="15"/>
      <c r="H9" s="15"/>
      <c r="I9" s="15"/>
      <c r="J9" s="15"/>
    </row>
    <row r="10" customFormat="false" ht="42" hidden="false" customHeight="true" outlineLevel="0" collapsed="false">
      <c r="A10" s="12" t="n">
        <v>5</v>
      </c>
      <c r="B10" s="13" t="s">
        <v>382</v>
      </c>
      <c r="C10" s="13" t="s">
        <v>391</v>
      </c>
      <c r="D10" s="13" t="s">
        <v>392</v>
      </c>
      <c r="E10" s="13" t="s">
        <v>74</v>
      </c>
      <c r="F10" s="13"/>
      <c r="G10" s="13"/>
      <c r="H10" s="13"/>
      <c r="I10" s="13"/>
      <c r="J10" s="13"/>
    </row>
    <row r="11" customFormat="false" ht="21.75" hidden="false" customHeight="true" outlineLevel="0" collapsed="false">
      <c r="A11" s="11" t="s">
        <v>393</v>
      </c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42" hidden="false" customHeight="true" outlineLevel="0" collapsed="false">
      <c r="A12" s="14" t="n">
        <v>6</v>
      </c>
      <c r="B12" s="15" t="s">
        <v>393</v>
      </c>
      <c r="C12" s="15" t="s">
        <v>394</v>
      </c>
      <c r="D12" s="15" t="s">
        <v>395</v>
      </c>
      <c r="E12" s="15" t="s">
        <v>112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393</v>
      </c>
      <c r="C13" s="13" t="s">
        <v>396</v>
      </c>
      <c r="D13" s="13" t="s">
        <v>397</v>
      </c>
      <c r="E13" s="13" t="s">
        <v>69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393</v>
      </c>
      <c r="C14" s="15" t="s">
        <v>398</v>
      </c>
      <c r="D14" s="15" t="s">
        <v>399</v>
      </c>
      <c r="E14" s="15" t="s">
        <v>112</v>
      </c>
      <c r="F14" s="15"/>
      <c r="G14" s="15"/>
      <c r="H14" s="15"/>
      <c r="I14" s="15"/>
      <c r="J14" s="15"/>
    </row>
    <row r="15" customFormat="false" ht="42" hidden="false" customHeight="true" outlineLevel="0" collapsed="false">
      <c r="A15" s="12" t="n">
        <v>9</v>
      </c>
      <c r="B15" s="13" t="s">
        <v>393</v>
      </c>
      <c r="C15" s="13" t="s">
        <v>400</v>
      </c>
      <c r="D15" s="13" t="s">
        <v>401</v>
      </c>
      <c r="E15" s="13" t="s">
        <v>112</v>
      </c>
      <c r="F15" s="13"/>
      <c r="G15" s="13"/>
      <c r="H15" s="13"/>
      <c r="I15" s="13"/>
      <c r="J15" s="13"/>
    </row>
    <row r="16" customFormat="false" ht="42" hidden="false" customHeight="true" outlineLevel="0" collapsed="false">
      <c r="A16" s="14" t="n">
        <v>10</v>
      </c>
      <c r="B16" s="15" t="s">
        <v>393</v>
      </c>
      <c r="C16" s="15" t="s">
        <v>402</v>
      </c>
      <c r="D16" s="15" t="s">
        <v>403</v>
      </c>
      <c r="E16" s="15" t="s">
        <v>112</v>
      </c>
      <c r="F16" s="15"/>
      <c r="G16" s="15"/>
      <c r="H16" s="15"/>
      <c r="I16" s="15"/>
      <c r="J16" s="15"/>
    </row>
    <row r="17" customFormat="false" ht="21.75" hidden="false" customHeight="true" outlineLevel="0" collapsed="false">
      <c r="A17" s="11" t="s">
        <v>404</v>
      </c>
      <c r="B17" s="11"/>
      <c r="C17" s="11"/>
      <c r="D17" s="11"/>
      <c r="E17" s="11"/>
      <c r="F17" s="11"/>
      <c r="G17" s="11"/>
      <c r="H17" s="11"/>
      <c r="I17" s="11"/>
      <c r="J17" s="11"/>
    </row>
    <row r="18" customFormat="false" ht="42" hidden="false" customHeight="true" outlineLevel="0" collapsed="false">
      <c r="A18" s="12" t="n">
        <v>11</v>
      </c>
      <c r="B18" s="13" t="s">
        <v>404</v>
      </c>
      <c r="C18" s="13" t="s">
        <v>405</v>
      </c>
      <c r="D18" s="13" t="s">
        <v>406</v>
      </c>
      <c r="E18" s="13" t="s">
        <v>69</v>
      </c>
      <c r="F18" s="13"/>
      <c r="G18" s="13"/>
      <c r="H18" s="13"/>
      <c r="I18" s="13"/>
      <c r="J18" s="13"/>
    </row>
    <row r="19" customFormat="false" ht="42" hidden="false" customHeight="true" outlineLevel="0" collapsed="false">
      <c r="A19" s="14" t="n">
        <v>12</v>
      </c>
      <c r="B19" s="15" t="s">
        <v>404</v>
      </c>
      <c r="C19" s="15" t="s">
        <v>407</v>
      </c>
      <c r="D19" s="15" t="s">
        <v>408</v>
      </c>
      <c r="E19" s="15" t="s">
        <v>112</v>
      </c>
      <c r="F19" s="15"/>
      <c r="G19" s="15"/>
      <c r="H19" s="15"/>
      <c r="I19" s="15"/>
      <c r="J19" s="15"/>
    </row>
    <row r="20" customFormat="false" ht="42" hidden="false" customHeight="true" outlineLevel="0" collapsed="false">
      <c r="A20" s="12" t="n">
        <v>13</v>
      </c>
      <c r="B20" s="13" t="s">
        <v>404</v>
      </c>
      <c r="C20" s="13" t="s">
        <v>409</v>
      </c>
      <c r="D20" s="13" t="s">
        <v>410</v>
      </c>
      <c r="E20" s="13" t="s">
        <v>112</v>
      </c>
      <c r="F20" s="13"/>
      <c r="G20" s="13"/>
      <c r="H20" s="13"/>
      <c r="I20" s="13"/>
      <c r="J20" s="13"/>
    </row>
  </sheetData>
  <mergeCells count="5">
    <mergeCell ref="A1:J1"/>
    <mergeCell ref="A2:J2"/>
    <mergeCell ref="A5:J5"/>
    <mergeCell ref="A11:J11"/>
    <mergeCell ref="A17:J17"/>
  </mergeCells>
  <dataValidations count="2">
    <dataValidation allowBlank="true" errorStyle="stop" operator="between" showDropDown="false" showErrorMessage="false" showInputMessage="false" sqref="I5:I20" type="list">
      <formula1>"Must,Should,Nice"</formula1>
      <formula2>0</formula2>
    </dataValidation>
    <dataValidation allowBlank="true" errorStyle="stop" operator="between" showDropDown="false" showErrorMessage="false" showInputMessage="false" sqref="J5:J20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38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411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411</v>
      </c>
      <c r="C6" s="13" t="s">
        <v>412</v>
      </c>
      <c r="D6" s="13" t="s">
        <v>413</v>
      </c>
      <c r="E6" s="13" t="s">
        <v>69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411</v>
      </c>
      <c r="C7" s="15" t="s">
        <v>414</v>
      </c>
      <c r="D7" s="15" t="s">
        <v>415</v>
      </c>
      <c r="E7" s="15" t="s">
        <v>69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411</v>
      </c>
      <c r="C8" s="13" t="s">
        <v>416</v>
      </c>
      <c r="D8" s="13" t="s">
        <v>417</v>
      </c>
      <c r="E8" s="13" t="s">
        <v>82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411</v>
      </c>
      <c r="C9" s="15" t="s">
        <v>418</v>
      </c>
      <c r="D9" s="15" t="s">
        <v>419</v>
      </c>
      <c r="E9" s="15" t="s">
        <v>112</v>
      </c>
      <c r="F9" s="15"/>
      <c r="G9" s="15"/>
      <c r="H9" s="15"/>
      <c r="I9" s="15"/>
      <c r="J9" s="15"/>
    </row>
    <row r="10" customFormat="false" ht="21.75" hidden="false" customHeight="true" outlineLevel="0" collapsed="false">
      <c r="A10" s="11" t="s">
        <v>420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42" hidden="false" customHeight="true" outlineLevel="0" collapsed="false">
      <c r="A11" s="12" t="n">
        <v>5</v>
      </c>
      <c r="B11" s="13" t="s">
        <v>420</v>
      </c>
      <c r="C11" s="13" t="s">
        <v>421</v>
      </c>
      <c r="D11" s="13" t="s">
        <v>422</v>
      </c>
      <c r="E11" s="13" t="s">
        <v>69</v>
      </c>
      <c r="F11" s="13"/>
      <c r="G11" s="13"/>
      <c r="H11" s="13"/>
      <c r="I11" s="13"/>
      <c r="J11" s="13"/>
    </row>
    <row r="12" customFormat="false" ht="42" hidden="false" customHeight="true" outlineLevel="0" collapsed="false">
      <c r="A12" s="14" t="n">
        <v>6</v>
      </c>
      <c r="B12" s="15" t="s">
        <v>420</v>
      </c>
      <c r="C12" s="15" t="s">
        <v>423</v>
      </c>
      <c r="D12" s="15" t="s">
        <v>424</v>
      </c>
      <c r="E12" s="15" t="s">
        <v>112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420</v>
      </c>
      <c r="C13" s="13" t="s">
        <v>425</v>
      </c>
      <c r="D13" s="13" t="s">
        <v>426</v>
      </c>
      <c r="E13" s="13" t="s">
        <v>69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420</v>
      </c>
      <c r="C14" s="15" t="s">
        <v>427</v>
      </c>
      <c r="D14" s="15" t="s">
        <v>428</v>
      </c>
      <c r="E14" s="15" t="s">
        <v>112</v>
      </c>
      <c r="F14" s="15"/>
      <c r="G14" s="15"/>
      <c r="H14" s="15"/>
      <c r="I14" s="15"/>
      <c r="J14" s="15"/>
    </row>
    <row r="15" customFormat="false" ht="42" hidden="false" customHeight="true" outlineLevel="0" collapsed="false">
      <c r="A15" s="12" t="n">
        <v>9</v>
      </c>
      <c r="B15" s="13" t="s">
        <v>420</v>
      </c>
      <c r="C15" s="13" t="s">
        <v>429</v>
      </c>
      <c r="D15" s="13" t="s">
        <v>430</v>
      </c>
      <c r="E15" s="13" t="s">
        <v>112</v>
      </c>
      <c r="F15" s="13"/>
      <c r="G15" s="13"/>
      <c r="H15" s="13"/>
      <c r="I15" s="13"/>
      <c r="J15" s="13"/>
    </row>
  </sheetData>
  <mergeCells count="4">
    <mergeCell ref="A1:J1"/>
    <mergeCell ref="A2:J2"/>
    <mergeCell ref="A5:J5"/>
    <mergeCell ref="A10:J10"/>
  </mergeCells>
  <dataValidations count="2">
    <dataValidation allowBlank="true" errorStyle="stop" operator="between" showDropDown="false" showErrorMessage="false" showInputMessage="false" sqref="I5:I15" type="list">
      <formula1>"Must,Should,Nice"</formula1>
      <formula2>0</formula2>
    </dataValidation>
    <dataValidation allowBlank="true" errorStyle="stop" operator="between" showDropDown="false" showErrorMessage="false" showInputMessage="false" sqref="J5:J15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39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40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431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431</v>
      </c>
      <c r="C6" s="13" t="s">
        <v>432</v>
      </c>
      <c r="D6" s="13" t="s">
        <v>433</v>
      </c>
      <c r="E6" s="13" t="s">
        <v>112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431</v>
      </c>
      <c r="C7" s="15" t="s">
        <v>434</v>
      </c>
      <c r="D7" s="15" t="s">
        <v>435</v>
      </c>
      <c r="E7" s="15" t="s">
        <v>112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431</v>
      </c>
      <c r="C8" s="13" t="s">
        <v>436</v>
      </c>
      <c r="D8" s="13" t="s">
        <v>437</v>
      </c>
      <c r="E8" s="13" t="s">
        <v>112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431</v>
      </c>
      <c r="C9" s="15" t="s">
        <v>438</v>
      </c>
      <c r="D9" s="15" t="s">
        <v>439</v>
      </c>
      <c r="E9" s="15" t="s">
        <v>112</v>
      </c>
      <c r="F9" s="15"/>
      <c r="G9" s="15"/>
      <c r="H9" s="15"/>
      <c r="I9" s="15"/>
      <c r="J9" s="15"/>
    </row>
    <row r="10" customFormat="false" ht="42" hidden="false" customHeight="true" outlineLevel="0" collapsed="false">
      <c r="A10" s="12" t="n">
        <v>5</v>
      </c>
      <c r="B10" s="13" t="s">
        <v>431</v>
      </c>
      <c r="C10" s="13" t="s">
        <v>440</v>
      </c>
      <c r="D10" s="13" t="s">
        <v>441</v>
      </c>
      <c r="E10" s="13" t="s">
        <v>112</v>
      </c>
      <c r="F10" s="13"/>
      <c r="G10" s="13"/>
      <c r="H10" s="13"/>
      <c r="I10" s="13"/>
      <c r="J10" s="13"/>
    </row>
    <row r="11" customFormat="false" ht="42" hidden="false" customHeight="true" outlineLevel="0" collapsed="false">
      <c r="A11" s="14" t="n">
        <v>6</v>
      </c>
      <c r="B11" s="15" t="s">
        <v>431</v>
      </c>
      <c r="C11" s="15" t="s">
        <v>442</v>
      </c>
      <c r="D11" s="15" t="s">
        <v>443</v>
      </c>
      <c r="E11" s="15" t="s">
        <v>112</v>
      </c>
      <c r="F11" s="15"/>
      <c r="G11" s="15"/>
      <c r="H11" s="15"/>
      <c r="I11" s="15"/>
      <c r="J11" s="15"/>
    </row>
    <row r="12" customFormat="false" ht="42" hidden="false" customHeight="true" outlineLevel="0" collapsed="false">
      <c r="A12" s="12" t="n">
        <v>7</v>
      </c>
      <c r="B12" s="13" t="s">
        <v>431</v>
      </c>
      <c r="C12" s="13" t="s">
        <v>444</v>
      </c>
      <c r="D12" s="13" t="s">
        <v>445</v>
      </c>
      <c r="E12" s="13" t="s">
        <v>112</v>
      </c>
      <c r="F12" s="13"/>
      <c r="G12" s="13"/>
      <c r="H12" s="13"/>
      <c r="I12" s="13"/>
      <c r="J12" s="13"/>
    </row>
    <row r="13" customFormat="false" ht="42" hidden="false" customHeight="true" outlineLevel="0" collapsed="false">
      <c r="A13" s="14" t="n">
        <v>8</v>
      </c>
      <c r="B13" s="15" t="s">
        <v>431</v>
      </c>
      <c r="C13" s="15" t="s">
        <v>446</v>
      </c>
      <c r="D13" s="15" t="s">
        <v>447</v>
      </c>
      <c r="E13" s="15" t="s">
        <v>112</v>
      </c>
      <c r="F13" s="15"/>
      <c r="G13" s="15"/>
      <c r="H13" s="15"/>
      <c r="I13" s="15"/>
      <c r="J13" s="15"/>
    </row>
    <row r="14" customFormat="false" ht="21.75" hidden="false" customHeight="true" outlineLevel="0" collapsed="false">
      <c r="A14" s="11" t="s">
        <v>448</v>
      </c>
      <c r="B14" s="11"/>
      <c r="C14" s="11"/>
      <c r="D14" s="11"/>
      <c r="E14" s="11"/>
      <c r="F14" s="11"/>
      <c r="G14" s="11"/>
      <c r="H14" s="11"/>
      <c r="I14" s="11"/>
      <c r="J14" s="11"/>
    </row>
    <row r="15" customFormat="false" ht="42" hidden="false" customHeight="true" outlineLevel="0" collapsed="false">
      <c r="A15" s="12" t="n">
        <v>9</v>
      </c>
      <c r="B15" s="13" t="s">
        <v>448</v>
      </c>
      <c r="C15" s="13" t="s">
        <v>449</v>
      </c>
      <c r="D15" s="13" t="s">
        <v>450</v>
      </c>
      <c r="E15" s="13" t="s">
        <v>69</v>
      </c>
      <c r="F15" s="13"/>
      <c r="G15" s="13"/>
      <c r="H15" s="13"/>
      <c r="I15" s="13"/>
      <c r="J15" s="13"/>
    </row>
    <row r="16" customFormat="false" ht="42" hidden="false" customHeight="true" outlineLevel="0" collapsed="false">
      <c r="A16" s="14" t="n">
        <v>10</v>
      </c>
      <c r="B16" s="15" t="s">
        <v>448</v>
      </c>
      <c r="C16" s="15" t="s">
        <v>451</v>
      </c>
      <c r="D16" s="15" t="s">
        <v>452</v>
      </c>
      <c r="E16" s="15" t="s">
        <v>82</v>
      </c>
      <c r="F16" s="15"/>
      <c r="G16" s="15"/>
      <c r="H16" s="15"/>
      <c r="I16" s="15"/>
      <c r="J16" s="15"/>
    </row>
    <row r="17" customFormat="false" ht="42" hidden="false" customHeight="true" outlineLevel="0" collapsed="false">
      <c r="A17" s="12" t="n">
        <v>11</v>
      </c>
      <c r="B17" s="13" t="s">
        <v>448</v>
      </c>
      <c r="C17" s="13" t="s">
        <v>453</v>
      </c>
      <c r="D17" s="13" t="s">
        <v>454</v>
      </c>
      <c r="E17" s="13" t="s">
        <v>69</v>
      </c>
      <c r="F17" s="13"/>
      <c r="G17" s="13"/>
      <c r="H17" s="13"/>
      <c r="I17" s="13"/>
      <c r="J17" s="13"/>
    </row>
    <row r="18" customFormat="false" ht="42" hidden="false" customHeight="true" outlineLevel="0" collapsed="false">
      <c r="A18" s="14" t="n">
        <v>12</v>
      </c>
      <c r="B18" s="15" t="s">
        <v>448</v>
      </c>
      <c r="C18" s="15" t="s">
        <v>455</v>
      </c>
      <c r="D18" s="15" t="s">
        <v>456</v>
      </c>
      <c r="E18" s="15" t="s">
        <v>112</v>
      </c>
      <c r="F18" s="15"/>
      <c r="G18" s="15"/>
      <c r="H18" s="15"/>
      <c r="I18" s="15"/>
      <c r="J18" s="15"/>
    </row>
    <row r="19" customFormat="false" ht="42" hidden="false" customHeight="true" outlineLevel="0" collapsed="false">
      <c r="A19" s="12" t="n">
        <v>13</v>
      </c>
      <c r="B19" s="13" t="s">
        <v>448</v>
      </c>
      <c r="C19" s="13" t="s">
        <v>457</v>
      </c>
      <c r="D19" s="13" t="s">
        <v>458</v>
      </c>
      <c r="E19" s="13" t="s">
        <v>112</v>
      </c>
      <c r="F19" s="13"/>
      <c r="G19" s="13"/>
      <c r="H19" s="13"/>
      <c r="I19" s="13"/>
      <c r="J19" s="13"/>
    </row>
  </sheetData>
  <mergeCells count="4">
    <mergeCell ref="A1:J1"/>
    <mergeCell ref="A2:J2"/>
    <mergeCell ref="A5:J5"/>
    <mergeCell ref="A14:J14"/>
  </mergeCells>
  <dataValidations count="2">
    <dataValidation allowBlank="true" errorStyle="stop" operator="between" showDropDown="false" showErrorMessage="false" showInputMessage="false" sqref="I5:I19" type="list">
      <formula1>"Must,Should,Nice"</formula1>
      <formula2>0</formula2>
    </dataValidation>
    <dataValidation allowBlank="true" errorStyle="stop" operator="between" showDropDown="false" showErrorMessage="false" showInputMessage="false" sqref="J5:J19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41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42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459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459</v>
      </c>
      <c r="C6" s="13" t="s">
        <v>460</v>
      </c>
      <c r="D6" s="13" t="s">
        <v>461</v>
      </c>
      <c r="E6" s="13" t="s">
        <v>69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459</v>
      </c>
      <c r="C7" s="15" t="s">
        <v>462</v>
      </c>
      <c r="D7" s="15" t="s">
        <v>463</v>
      </c>
      <c r="E7" s="15" t="s">
        <v>69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459</v>
      </c>
      <c r="C8" s="13" t="s">
        <v>464</v>
      </c>
      <c r="D8" s="13" t="s">
        <v>465</v>
      </c>
      <c r="E8" s="13" t="s">
        <v>74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459</v>
      </c>
      <c r="C9" s="15" t="s">
        <v>466</v>
      </c>
      <c r="D9" s="15" t="s">
        <v>467</v>
      </c>
      <c r="E9" s="15" t="s">
        <v>69</v>
      </c>
      <c r="F9" s="15"/>
      <c r="G9" s="15"/>
      <c r="H9" s="15"/>
      <c r="I9" s="15"/>
      <c r="J9" s="15"/>
    </row>
    <row r="10" customFormat="false" ht="42" hidden="false" customHeight="true" outlineLevel="0" collapsed="false">
      <c r="A10" s="12" t="n">
        <v>5</v>
      </c>
      <c r="B10" s="13" t="s">
        <v>459</v>
      </c>
      <c r="C10" s="13" t="s">
        <v>468</v>
      </c>
      <c r="D10" s="13" t="s">
        <v>469</v>
      </c>
      <c r="E10" s="13" t="s">
        <v>69</v>
      </c>
      <c r="F10" s="13"/>
      <c r="G10" s="13"/>
      <c r="H10" s="13"/>
      <c r="I10" s="13"/>
      <c r="J10" s="13"/>
    </row>
    <row r="11" customFormat="false" ht="21.75" hidden="false" customHeight="true" outlineLevel="0" collapsed="false">
      <c r="A11" s="11" t="s">
        <v>470</v>
      </c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42" hidden="false" customHeight="true" outlineLevel="0" collapsed="false">
      <c r="A12" s="14" t="n">
        <v>6</v>
      </c>
      <c r="B12" s="15" t="s">
        <v>470</v>
      </c>
      <c r="C12" s="15" t="s">
        <v>471</v>
      </c>
      <c r="D12" s="15" t="s">
        <v>472</v>
      </c>
      <c r="E12" s="15" t="s">
        <v>69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470</v>
      </c>
      <c r="C13" s="13" t="s">
        <v>473</v>
      </c>
      <c r="D13" s="13" t="s">
        <v>474</v>
      </c>
      <c r="E13" s="13" t="s">
        <v>69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470</v>
      </c>
      <c r="C14" s="15" t="s">
        <v>475</v>
      </c>
      <c r="D14" s="15" t="s">
        <v>476</v>
      </c>
      <c r="E14" s="15" t="s">
        <v>74</v>
      </c>
      <c r="F14" s="15"/>
      <c r="G14" s="15"/>
      <c r="H14" s="15"/>
      <c r="I14" s="15"/>
      <c r="J14" s="15"/>
    </row>
    <row r="15" customFormat="false" ht="42" hidden="false" customHeight="true" outlineLevel="0" collapsed="false">
      <c r="A15" s="12" t="n">
        <v>9</v>
      </c>
      <c r="B15" s="13" t="s">
        <v>470</v>
      </c>
      <c r="C15" s="13" t="s">
        <v>477</v>
      </c>
      <c r="D15" s="13" t="s">
        <v>478</v>
      </c>
      <c r="E15" s="13" t="s">
        <v>69</v>
      </c>
      <c r="F15" s="13"/>
      <c r="G15" s="13"/>
      <c r="H15" s="13"/>
      <c r="I15" s="13"/>
      <c r="J15" s="13"/>
    </row>
    <row r="16" customFormat="false" ht="42" hidden="false" customHeight="true" outlineLevel="0" collapsed="false">
      <c r="A16" s="14" t="n">
        <v>10</v>
      </c>
      <c r="B16" s="15" t="s">
        <v>470</v>
      </c>
      <c r="C16" s="15" t="s">
        <v>479</v>
      </c>
      <c r="D16" s="15" t="s">
        <v>480</v>
      </c>
      <c r="E16" s="15" t="s">
        <v>69</v>
      </c>
      <c r="F16" s="15"/>
      <c r="G16" s="15"/>
      <c r="H16" s="15"/>
      <c r="I16" s="15"/>
      <c r="J16" s="15"/>
    </row>
    <row r="17" customFormat="false" ht="42" hidden="false" customHeight="true" outlineLevel="0" collapsed="false">
      <c r="A17" s="12" t="n">
        <v>11</v>
      </c>
      <c r="B17" s="13" t="s">
        <v>470</v>
      </c>
      <c r="C17" s="13" t="s">
        <v>481</v>
      </c>
      <c r="D17" s="13" t="s">
        <v>482</v>
      </c>
      <c r="E17" s="13" t="s">
        <v>69</v>
      </c>
      <c r="F17" s="13"/>
      <c r="G17" s="13"/>
      <c r="H17" s="13"/>
      <c r="I17" s="13"/>
      <c r="J17" s="13"/>
    </row>
    <row r="18" customFormat="false" ht="42" hidden="false" customHeight="true" outlineLevel="0" collapsed="false">
      <c r="A18" s="14" t="n">
        <v>12</v>
      </c>
      <c r="B18" s="15" t="s">
        <v>470</v>
      </c>
      <c r="C18" s="15" t="s">
        <v>483</v>
      </c>
      <c r="D18" s="15" t="s">
        <v>484</v>
      </c>
      <c r="E18" s="15" t="s">
        <v>69</v>
      </c>
      <c r="F18" s="15"/>
      <c r="G18" s="15"/>
      <c r="H18" s="15"/>
      <c r="I18" s="15"/>
      <c r="J18" s="15"/>
    </row>
    <row r="19" customFormat="false" ht="42" hidden="false" customHeight="true" outlineLevel="0" collapsed="false">
      <c r="A19" s="12" t="n">
        <v>13</v>
      </c>
      <c r="B19" s="13" t="s">
        <v>470</v>
      </c>
      <c r="C19" s="13" t="s">
        <v>485</v>
      </c>
      <c r="D19" s="13" t="s">
        <v>486</v>
      </c>
      <c r="E19" s="13" t="s">
        <v>69</v>
      </c>
      <c r="F19" s="13"/>
      <c r="G19" s="13"/>
      <c r="H19" s="13"/>
      <c r="I19" s="13"/>
      <c r="J19" s="13"/>
    </row>
    <row r="20" customFormat="false" ht="42" hidden="false" customHeight="true" outlineLevel="0" collapsed="false">
      <c r="A20" s="14" t="n">
        <v>14</v>
      </c>
      <c r="B20" s="15" t="s">
        <v>470</v>
      </c>
      <c r="C20" s="15" t="s">
        <v>487</v>
      </c>
      <c r="D20" s="15" t="s">
        <v>488</v>
      </c>
      <c r="E20" s="15" t="s">
        <v>69</v>
      </c>
      <c r="F20" s="15"/>
      <c r="G20" s="15"/>
      <c r="H20" s="15"/>
      <c r="I20" s="15"/>
      <c r="J20" s="15"/>
    </row>
    <row r="21" customFormat="false" ht="42" hidden="false" customHeight="true" outlineLevel="0" collapsed="false">
      <c r="A21" s="12" t="n">
        <v>15</v>
      </c>
      <c r="B21" s="13" t="s">
        <v>470</v>
      </c>
      <c r="C21" s="13" t="s">
        <v>489</v>
      </c>
      <c r="D21" s="13" t="s">
        <v>490</v>
      </c>
      <c r="E21" s="13" t="s">
        <v>69</v>
      </c>
      <c r="F21" s="13"/>
      <c r="G21" s="13"/>
      <c r="H21" s="13"/>
      <c r="I21" s="13"/>
      <c r="J21" s="13"/>
    </row>
    <row r="22" customFormat="false" ht="42" hidden="false" customHeight="true" outlineLevel="0" collapsed="false">
      <c r="A22" s="14" t="n">
        <v>16</v>
      </c>
      <c r="B22" s="15" t="s">
        <v>470</v>
      </c>
      <c r="C22" s="15" t="s">
        <v>491</v>
      </c>
      <c r="D22" s="15" t="s">
        <v>492</v>
      </c>
      <c r="E22" s="15" t="s">
        <v>82</v>
      </c>
      <c r="F22" s="15"/>
      <c r="G22" s="15"/>
      <c r="H22" s="15"/>
      <c r="I22" s="15"/>
      <c r="J22" s="15"/>
    </row>
    <row r="23" customFormat="false" ht="42" hidden="false" customHeight="true" outlineLevel="0" collapsed="false">
      <c r="A23" s="12" t="n">
        <v>17</v>
      </c>
      <c r="B23" s="13" t="s">
        <v>470</v>
      </c>
      <c r="C23" s="13" t="s">
        <v>493</v>
      </c>
      <c r="D23" s="13" t="s">
        <v>494</v>
      </c>
      <c r="E23" s="13" t="s">
        <v>69</v>
      </c>
      <c r="F23" s="13"/>
      <c r="G23" s="13"/>
      <c r="H23" s="13"/>
      <c r="I23" s="13"/>
      <c r="J23" s="13"/>
    </row>
    <row r="24" customFormat="false" ht="42" hidden="false" customHeight="true" outlineLevel="0" collapsed="false">
      <c r="A24" s="14" t="n">
        <v>18</v>
      </c>
      <c r="B24" s="15" t="s">
        <v>470</v>
      </c>
      <c r="C24" s="15" t="s">
        <v>495</v>
      </c>
      <c r="D24" s="15" t="s">
        <v>496</v>
      </c>
      <c r="E24" s="15" t="s">
        <v>69</v>
      </c>
      <c r="F24" s="15"/>
      <c r="G24" s="15"/>
      <c r="H24" s="15"/>
      <c r="I24" s="15"/>
      <c r="J24" s="15"/>
    </row>
  </sheetData>
  <mergeCells count="4">
    <mergeCell ref="A1:J1"/>
    <mergeCell ref="A2:J2"/>
    <mergeCell ref="A5:J5"/>
    <mergeCell ref="A11:J11"/>
  </mergeCells>
  <dataValidations count="2">
    <dataValidation allowBlank="true" errorStyle="stop" operator="between" showDropDown="false" showErrorMessage="false" showInputMessage="false" sqref="I5:I24" type="list">
      <formula1>"Must,Should,Nice"</formula1>
      <formula2>0</formula2>
    </dataValidation>
    <dataValidation allowBlank="true" errorStyle="stop" operator="between" showDropDown="false" showErrorMessage="false" showInputMessage="false" sqref="J5:J24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44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497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497</v>
      </c>
      <c r="C6" s="13" t="s">
        <v>498</v>
      </c>
      <c r="D6" s="13" t="s">
        <v>499</v>
      </c>
      <c r="E6" s="13" t="s">
        <v>82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497</v>
      </c>
      <c r="C7" s="15" t="s">
        <v>500</v>
      </c>
      <c r="D7" s="15" t="s">
        <v>501</v>
      </c>
      <c r="E7" s="15" t="s">
        <v>69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497</v>
      </c>
      <c r="C8" s="13" t="s">
        <v>502</v>
      </c>
      <c r="D8" s="13" t="s">
        <v>503</v>
      </c>
      <c r="E8" s="13" t="s">
        <v>69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497</v>
      </c>
      <c r="C9" s="15" t="s">
        <v>504</v>
      </c>
      <c r="D9" s="15" t="s">
        <v>505</v>
      </c>
      <c r="E9" s="15" t="s">
        <v>112</v>
      </c>
      <c r="F9" s="15"/>
      <c r="G9" s="15"/>
      <c r="H9" s="15"/>
      <c r="I9" s="15"/>
      <c r="J9" s="15"/>
    </row>
    <row r="10" customFormat="false" ht="42" hidden="false" customHeight="true" outlineLevel="0" collapsed="false">
      <c r="A10" s="12" t="n">
        <v>5</v>
      </c>
      <c r="B10" s="13" t="s">
        <v>497</v>
      </c>
      <c r="C10" s="13" t="s">
        <v>506</v>
      </c>
      <c r="D10" s="13" t="s">
        <v>507</v>
      </c>
      <c r="E10" s="13" t="s">
        <v>112</v>
      </c>
      <c r="F10" s="13"/>
      <c r="G10" s="13"/>
      <c r="H10" s="13"/>
      <c r="I10" s="13"/>
      <c r="J10" s="13"/>
    </row>
    <row r="11" customFormat="false" ht="42" hidden="false" customHeight="true" outlineLevel="0" collapsed="false">
      <c r="A11" s="14" t="n">
        <v>6</v>
      </c>
      <c r="B11" s="15" t="s">
        <v>497</v>
      </c>
      <c r="C11" s="15" t="s">
        <v>508</v>
      </c>
      <c r="D11" s="15" t="s">
        <v>509</v>
      </c>
      <c r="E11" s="15" t="s">
        <v>82</v>
      </c>
      <c r="F11" s="15"/>
      <c r="G11" s="15"/>
      <c r="H11" s="15"/>
      <c r="I11" s="15"/>
      <c r="J11" s="15"/>
    </row>
    <row r="12" customFormat="false" ht="21.75" hidden="false" customHeight="true" outlineLevel="0" collapsed="false">
      <c r="A12" s="11" t="s">
        <v>510</v>
      </c>
      <c r="B12" s="11"/>
      <c r="C12" s="11"/>
      <c r="D12" s="11"/>
      <c r="E12" s="11"/>
      <c r="F12" s="11"/>
      <c r="G12" s="11"/>
      <c r="H12" s="11"/>
      <c r="I12" s="11"/>
      <c r="J12" s="11"/>
    </row>
    <row r="13" customFormat="false" ht="42" hidden="false" customHeight="true" outlineLevel="0" collapsed="false">
      <c r="A13" s="12" t="n">
        <v>7</v>
      </c>
      <c r="B13" s="13" t="s">
        <v>510</v>
      </c>
      <c r="C13" s="13" t="s">
        <v>511</v>
      </c>
      <c r="D13" s="13" t="s">
        <v>512</v>
      </c>
      <c r="E13" s="13" t="s">
        <v>69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510</v>
      </c>
      <c r="C14" s="15" t="s">
        <v>513</v>
      </c>
      <c r="D14" s="15" t="s">
        <v>514</v>
      </c>
      <c r="E14" s="15" t="s">
        <v>74</v>
      </c>
      <c r="F14" s="15"/>
      <c r="G14" s="15"/>
      <c r="H14" s="15"/>
      <c r="I14" s="15"/>
      <c r="J14" s="15"/>
    </row>
    <row r="15" customFormat="false" ht="42" hidden="false" customHeight="true" outlineLevel="0" collapsed="false">
      <c r="A15" s="12" t="n">
        <v>9</v>
      </c>
      <c r="B15" s="13" t="s">
        <v>510</v>
      </c>
      <c r="C15" s="13" t="s">
        <v>515</v>
      </c>
      <c r="D15" s="13" t="s">
        <v>516</v>
      </c>
      <c r="E15" s="13" t="s">
        <v>74</v>
      </c>
      <c r="F15" s="13"/>
      <c r="G15" s="13"/>
      <c r="H15" s="13"/>
      <c r="I15" s="13"/>
      <c r="J15" s="13"/>
    </row>
    <row r="16" customFormat="false" ht="42" hidden="false" customHeight="true" outlineLevel="0" collapsed="false">
      <c r="A16" s="14" t="n">
        <v>10</v>
      </c>
      <c r="B16" s="15" t="s">
        <v>510</v>
      </c>
      <c r="C16" s="15" t="s">
        <v>517</v>
      </c>
      <c r="D16" s="15" t="s">
        <v>518</v>
      </c>
      <c r="E16" s="15" t="s">
        <v>69</v>
      </c>
      <c r="F16" s="15"/>
      <c r="G16" s="15"/>
      <c r="H16" s="15"/>
      <c r="I16" s="15"/>
      <c r="J16" s="15"/>
    </row>
    <row r="17" customFormat="false" ht="42" hidden="false" customHeight="true" outlineLevel="0" collapsed="false">
      <c r="A17" s="12" t="n">
        <v>11</v>
      </c>
      <c r="B17" s="13" t="s">
        <v>510</v>
      </c>
      <c r="C17" s="13" t="s">
        <v>519</v>
      </c>
      <c r="D17" s="13" t="s">
        <v>520</v>
      </c>
      <c r="E17" s="13" t="s">
        <v>69</v>
      </c>
      <c r="F17" s="13"/>
      <c r="G17" s="13"/>
      <c r="H17" s="13"/>
      <c r="I17" s="13"/>
      <c r="J17" s="13"/>
    </row>
    <row r="18" customFormat="false" ht="42" hidden="false" customHeight="true" outlineLevel="0" collapsed="false">
      <c r="A18" s="14" t="n">
        <v>12</v>
      </c>
      <c r="B18" s="15" t="s">
        <v>510</v>
      </c>
      <c r="C18" s="15" t="s">
        <v>521</v>
      </c>
      <c r="D18" s="15" t="s">
        <v>522</v>
      </c>
      <c r="E18" s="15" t="s">
        <v>69</v>
      </c>
      <c r="F18" s="15"/>
      <c r="G18" s="15"/>
      <c r="H18" s="15"/>
      <c r="I18" s="15"/>
      <c r="J18" s="15"/>
    </row>
    <row r="19" customFormat="false" ht="42" hidden="false" customHeight="true" outlineLevel="0" collapsed="false">
      <c r="A19" s="12" t="n">
        <v>13</v>
      </c>
      <c r="B19" s="13" t="s">
        <v>510</v>
      </c>
      <c r="C19" s="13" t="s">
        <v>523</v>
      </c>
      <c r="D19" s="13" t="s">
        <v>524</v>
      </c>
      <c r="E19" s="13" t="s">
        <v>69</v>
      </c>
      <c r="F19" s="13"/>
      <c r="G19" s="13"/>
      <c r="H19" s="13"/>
      <c r="I19" s="13"/>
      <c r="J19" s="13"/>
    </row>
    <row r="20" customFormat="false" ht="42" hidden="false" customHeight="true" outlineLevel="0" collapsed="false">
      <c r="A20" s="14" t="n">
        <v>14</v>
      </c>
      <c r="B20" s="15" t="s">
        <v>510</v>
      </c>
      <c r="C20" s="15" t="s">
        <v>525</v>
      </c>
      <c r="D20" s="15" t="s">
        <v>526</v>
      </c>
      <c r="E20" s="15" t="s">
        <v>112</v>
      </c>
      <c r="F20" s="15"/>
      <c r="G20" s="15"/>
      <c r="H20" s="15"/>
      <c r="I20" s="15"/>
      <c r="J20" s="15"/>
    </row>
    <row r="21" customFormat="false" ht="21.75" hidden="false" customHeight="true" outlineLevel="0" collapsed="false">
      <c r="A21" s="11" t="s">
        <v>527</v>
      </c>
      <c r="B21" s="11"/>
      <c r="C21" s="11"/>
      <c r="D21" s="11"/>
      <c r="E21" s="11"/>
      <c r="F21" s="11"/>
      <c r="G21" s="11"/>
      <c r="H21" s="11"/>
      <c r="I21" s="11"/>
      <c r="J21" s="11"/>
    </row>
    <row r="22" customFormat="false" ht="42" hidden="false" customHeight="true" outlineLevel="0" collapsed="false">
      <c r="A22" s="12" t="n">
        <v>15</v>
      </c>
      <c r="B22" s="13" t="s">
        <v>527</v>
      </c>
      <c r="C22" s="13" t="s">
        <v>528</v>
      </c>
      <c r="D22" s="13" t="s">
        <v>529</v>
      </c>
      <c r="E22" s="13" t="s">
        <v>112</v>
      </c>
      <c r="F22" s="13"/>
      <c r="G22" s="13"/>
      <c r="H22" s="13"/>
      <c r="I22" s="13"/>
      <c r="J22" s="13"/>
    </row>
    <row r="23" customFormat="false" ht="42" hidden="false" customHeight="true" outlineLevel="0" collapsed="false">
      <c r="A23" s="14" t="n">
        <v>16</v>
      </c>
      <c r="B23" s="15" t="s">
        <v>527</v>
      </c>
      <c r="C23" s="15" t="s">
        <v>530</v>
      </c>
      <c r="D23" s="15" t="s">
        <v>531</v>
      </c>
      <c r="E23" s="15" t="s">
        <v>112</v>
      </c>
      <c r="F23" s="15"/>
      <c r="G23" s="15"/>
      <c r="H23" s="15"/>
      <c r="I23" s="15"/>
      <c r="J23" s="15"/>
    </row>
    <row r="24" customFormat="false" ht="42" hidden="false" customHeight="true" outlineLevel="0" collapsed="false">
      <c r="A24" s="12" t="n">
        <v>17</v>
      </c>
      <c r="B24" s="13" t="s">
        <v>527</v>
      </c>
      <c r="C24" s="13" t="s">
        <v>532</v>
      </c>
      <c r="D24" s="13" t="s">
        <v>533</v>
      </c>
      <c r="E24" s="13" t="s">
        <v>112</v>
      </c>
      <c r="F24" s="13"/>
      <c r="G24" s="13"/>
      <c r="H24" s="13"/>
      <c r="I24" s="13"/>
      <c r="J24" s="13"/>
    </row>
  </sheetData>
  <mergeCells count="5">
    <mergeCell ref="A1:J1"/>
    <mergeCell ref="A2:J2"/>
    <mergeCell ref="A5:J5"/>
    <mergeCell ref="A12:J12"/>
    <mergeCell ref="A21:J21"/>
  </mergeCells>
  <dataValidations count="2">
    <dataValidation allowBlank="true" errorStyle="stop" operator="between" showDropDown="false" showErrorMessage="false" showInputMessage="false" sqref="I5:I24" type="list">
      <formula1>"Must,Should,Nice"</formula1>
      <formula2>0</formula2>
    </dataValidation>
    <dataValidation allowBlank="true" errorStyle="stop" operator="between" showDropDown="false" showErrorMessage="false" showInputMessage="false" sqref="J5:J24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45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46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534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534</v>
      </c>
      <c r="C6" s="13" t="s">
        <v>535</v>
      </c>
      <c r="D6" s="13" t="s">
        <v>536</v>
      </c>
      <c r="E6" s="13" t="s">
        <v>69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534</v>
      </c>
      <c r="C7" s="15" t="s">
        <v>537</v>
      </c>
      <c r="D7" s="15" t="s">
        <v>538</v>
      </c>
      <c r="E7" s="15" t="s">
        <v>82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534</v>
      </c>
      <c r="C8" s="13" t="s">
        <v>539</v>
      </c>
      <c r="D8" s="13" t="s">
        <v>540</v>
      </c>
      <c r="E8" s="13" t="s">
        <v>69</v>
      </c>
      <c r="F8" s="13"/>
      <c r="G8" s="13"/>
      <c r="H8" s="13"/>
      <c r="I8" s="13"/>
      <c r="J8" s="13"/>
    </row>
    <row r="9" customFormat="false" ht="21.75" hidden="false" customHeight="true" outlineLevel="0" collapsed="false">
      <c r="A9" s="11" t="s">
        <v>541</v>
      </c>
      <c r="B9" s="11"/>
      <c r="C9" s="11"/>
      <c r="D9" s="11"/>
      <c r="E9" s="11"/>
      <c r="F9" s="11"/>
      <c r="G9" s="11"/>
      <c r="H9" s="11"/>
      <c r="I9" s="11"/>
      <c r="J9" s="11"/>
    </row>
    <row r="10" customFormat="false" ht="42" hidden="false" customHeight="true" outlineLevel="0" collapsed="false">
      <c r="A10" s="14" t="n">
        <v>4</v>
      </c>
      <c r="B10" s="15" t="s">
        <v>541</v>
      </c>
      <c r="C10" s="15" t="s">
        <v>542</v>
      </c>
      <c r="D10" s="15" t="s">
        <v>543</v>
      </c>
      <c r="E10" s="15" t="s">
        <v>74</v>
      </c>
      <c r="F10" s="15"/>
      <c r="G10" s="15"/>
      <c r="H10" s="15"/>
      <c r="I10" s="15"/>
      <c r="J10" s="15"/>
    </row>
    <row r="11" customFormat="false" ht="42" hidden="false" customHeight="true" outlineLevel="0" collapsed="false">
      <c r="A11" s="12" t="n">
        <v>5</v>
      </c>
      <c r="B11" s="13" t="s">
        <v>541</v>
      </c>
      <c r="C11" s="13" t="s">
        <v>544</v>
      </c>
      <c r="D11" s="13" t="s">
        <v>545</v>
      </c>
      <c r="E11" s="13" t="s">
        <v>69</v>
      </c>
      <c r="F11" s="13"/>
      <c r="G11" s="13"/>
      <c r="H11" s="13"/>
      <c r="I11" s="13"/>
      <c r="J11" s="13"/>
    </row>
    <row r="12" customFormat="false" ht="42" hidden="false" customHeight="true" outlineLevel="0" collapsed="false">
      <c r="A12" s="14" t="n">
        <v>6</v>
      </c>
      <c r="B12" s="15" t="s">
        <v>541</v>
      </c>
      <c r="C12" s="15" t="s">
        <v>546</v>
      </c>
      <c r="D12" s="15" t="s">
        <v>547</v>
      </c>
      <c r="E12" s="15" t="s">
        <v>98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541</v>
      </c>
      <c r="C13" s="13" t="s">
        <v>548</v>
      </c>
      <c r="D13" s="13" t="s">
        <v>549</v>
      </c>
      <c r="E13" s="13" t="s">
        <v>74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541</v>
      </c>
      <c r="C14" s="15" t="s">
        <v>550</v>
      </c>
      <c r="D14" s="15" t="s">
        <v>551</v>
      </c>
      <c r="E14" s="15" t="s">
        <v>112</v>
      </c>
      <c r="F14" s="15"/>
      <c r="G14" s="15"/>
      <c r="H14" s="15"/>
      <c r="I14" s="15"/>
      <c r="J14" s="15"/>
    </row>
    <row r="15" customFormat="false" ht="42" hidden="false" customHeight="true" outlineLevel="0" collapsed="false">
      <c r="A15" s="12" t="n">
        <v>9</v>
      </c>
      <c r="B15" s="13" t="s">
        <v>541</v>
      </c>
      <c r="C15" s="13" t="s">
        <v>552</v>
      </c>
      <c r="D15" s="13" t="s">
        <v>553</v>
      </c>
      <c r="E15" s="13" t="s">
        <v>112</v>
      </c>
      <c r="F15" s="13"/>
      <c r="G15" s="13"/>
      <c r="H15" s="13"/>
      <c r="I15" s="13"/>
      <c r="J15" s="13"/>
    </row>
    <row r="16" customFormat="false" ht="42" hidden="false" customHeight="true" outlineLevel="0" collapsed="false">
      <c r="A16" s="14" t="n">
        <v>10</v>
      </c>
      <c r="B16" s="15" t="s">
        <v>541</v>
      </c>
      <c r="C16" s="15" t="s">
        <v>554</v>
      </c>
      <c r="D16" s="15" t="s">
        <v>555</v>
      </c>
      <c r="E16" s="15" t="s">
        <v>74</v>
      </c>
      <c r="F16" s="15"/>
      <c r="G16" s="15"/>
      <c r="H16" s="15"/>
      <c r="I16" s="15"/>
      <c r="J16" s="15"/>
    </row>
  </sheetData>
  <mergeCells count="4">
    <mergeCell ref="A1:J1"/>
    <mergeCell ref="A2:J2"/>
    <mergeCell ref="A5:J5"/>
    <mergeCell ref="A9:J9"/>
  </mergeCells>
  <dataValidations count="2">
    <dataValidation allowBlank="true" errorStyle="stop" operator="between" showDropDown="false" showErrorMessage="false" showInputMessage="false" sqref="I5:I16" type="list">
      <formula1>"Must,Should,Nice"</formula1>
      <formula2>0</formula2>
    </dataValidation>
    <dataValidation allowBlank="true" errorStyle="stop" operator="between" showDropDown="false" showErrorMessage="false" showInputMessage="false" sqref="J5:J16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47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48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556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556</v>
      </c>
      <c r="C6" s="13" t="s">
        <v>557</v>
      </c>
      <c r="D6" s="13" t="s">
        <v>558</v>
      </c>
      <c r="E6" s="13" t="s">
        <v>69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556</v>
      </c>
      <c r="C7" s="15" t="s">
        <v>559</v>
      </c>
      <c r="D7" s="15" t="s">
        <v>560</v>
      </c>
      <c r="E7" s="15" t="s">
        <v>82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556</v>
      </c>
      <c r="C8" s="13" t="s">
        <v>561</v>
      </c>
      <c r="D8" s="13" t="s">
        <v>562</v>
      </c>
      <c r="E8" s="13" t="s">
        <v>69</v>
      </c>
      <c r="F8" s="13"/>
      <c r="G8" s="13"/>
      <c r="H8" s="13"/>
      <c r="I8" s="13"/>
      <c r="J8" s="13"/>
    </row>
    <row r="9" customFormat="false" ht="21.75" hidden="false" customHeight="true" outlineLevel="0" collapsed="false">
      <c r="A9" s="11" t="s">
        <v>563</v>
      </c>
      <c r="B9" s="11"/>
      <c r="C9" s="11"/>
      <c r="D9" s="11"/>
      <c r="E9" s="11"/>
      <c r="F9" s="11"/>
      <c r="G9" s="11"/>
      <c r="H9" s="11"/>
      <c r="I9" s="11"/>
      <c r="J9" s="11"/>
    </row>
    <row r="10" customFormat="false" ht="42" hidden="false" customHeight="true" outlineLevel="0" collapsed="false">
      <c r="A10" s="14" t="n">
        <v>4</v>
      </c>
      <c r="B10" s="15" t="s">
        <v>563</v>
      </c>
      <c r="C10" s="15" t="s">
        <v>564</v>
      </c>
      <c r="D10" s="15" t="s">
        <v>565</v>
      </c>
      <c r="E10" s="15" t="s">
        <v>112</v>
      </c>
      <c r="F10" s="15"/>
      <c r="G10" s="15"/>
      <c r="H10" s="15"/>
      <c r="I10" s="15"/>
      <c r="J10" s="15"/>
    </row>
    <row r="11" customFormat="false" ht="42" hidden="false" customHeight="true" outlineLevel="0" collapsed="false">
      <c r="A11" s="12" t="n">
        <v>5</v>
      </c>
      <c r="B11" s="13" t="s">
        <v>563</v>
      </c>
      <c r="C11" s="13" t="s">
        <v>566</v>
      </c>
      <c r="D11" s="13" t="s">
        <v>567</v>
      </c>
      <c r="E11" s="13" t="s">
        <v>69</v>
      </c>
      <c r="F11" s="13"/>
      <c r="G11" s="13"/>
      <c r="H11" s="13"/>
      <c r="I11" s="13"/>
      <c r="J11" s="13"/>
    </row>
    <row r="12" customFormat="false" ht="42" hidden="false" customHeight="true" outlineLevel="0" collapsed="false">
      <c r="A12" s="14" t="n">
        <v>6</v>
      </c>
      <c r="B12" s="15" t="s">
        <v>563</v>
      </c>
      <c r="C12" s="15" t="s">
        <v>568</v>
      </c>
      <c r="D12" s="15" t="s">
        <v>569</v>
      </c>
      <c r="E12" s="15" t="s">
        <v>74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563</v>
      </c>
      <c r="C13" s="13" t="s">
        <v>570</v>
      </c>
      <c r="D13" s="13" t="s">
        <v>571</v>
      </c>
      <c r="E13" s="13" t="s">
        <v>112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563</v>
      </c>
      <c r="C14" s="15" t="s">
        <v>572</v>
      </c>
      <c r="D14" s="15" t="s">
        <v>573</v>
      </c>
      <c r="E14" s="15" t="s">
        <v>82</v>
      </c>
      <c r="F14" s="15"/>
      <c r="G14" s="15"/>
      <c r="H14" s="15"/>
      <c r="I14" s="15"/>
      <c r="J14" s="15"/>
    </row>
  </sheetData>
  <mergeCells count="4">
    <mergeCell ref="A1:J1"/>
    <mergeCell ref="A2:J2"/>
    <mergeCell ref="A5:J5"/>
    <mergeCell ref="A9:J9"/>
  </mergeCells>
  <dataValidations count="2">
    <dataValidation allowBlank="true" errorStyle="stop" operator="between" showDropDown="false" showErrorMessage="false" showInputMessage="false" sqref="I5:I14" type="list">
      <formula1>"Must,Should,Nice"</formula1>
      <formula2>0</formula2>
    </dataValidation>
    <dataValidation allowBlank="true" errorStyle="stop" operator="between" showDropDown="false" showErrorMessage="false" showInputMessage="false" sqref="J5:J14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8" t="s">
        <v>49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1.5" hidden="false" customHeight="true" outlineLevel="0" collapsed="false">
      <c r="A2" s="9" t="s">
        <v>50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1.5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H4" s="10" t="s">
        <v>60</v>
      </c>
      <c r="I4" s="10" t="s">
        <v>61</v>
      </c>
      <c r="J4" s="10" t="s">
        <v>62</v>
      </c>
    </row>
    <row r="5" customFormat="false" ht="21.75" hidden="false" customHeight="true" outlineLevel="0" collapsed="false">
      <c r="A5" s="11" t="s">
        <v>574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n">
        <v>1</v>
      </c>
      <c r="B6" s="13" t="s">
        <v>574</v>
      </c>
      <c r="C6" s="13" t="s">
        <v>575</v>
      </c>
      <c r="D6" s="13" t="s">
        <v>576</v>
      </c>
      <c r="E6" s="13" t="s">
        <v>82</v>
      </c>
      <c r="F6" s="13"/>
      <c r="G6" s="13"/>
      <c r="H6" s="13"/>
      <c r="I6" s="13"/>
      <c r="J6" s="13"/>
    </row>
    <row r="7" customFormat="false" ht="42" hidden="false" customHeight="true" outlineLevel="0" collapsed="false">
      <c r="A7" s="14" t="n">
        <v>2</v>
      </c>
      <c r="B7" s="15" t="s">
        <v>574</v>
      </c>
      <c r="C7" s="15" t="s">
        <v>577</v>
      </c>
      <c r="D7" s="15" t="s">
        <v>578</v>
      </c>
      <c r="E7" s="15" t="s">
        <v>74</v>
      </c>
      <c r="F7" s="15"/>
      <c r="G7" s="15"/>
      <c r="H7" s="15"/>
      <c r="I7" s="15"/>
      <c r="J7" s="15"/>
    </row>
    <row r="8" customFormat="false" ht="42" hidden="false" customHeight="true" outlineLevel="0" collapsed="false">
      <c r="A8" s="12" t="n">
        <v>3</v>
      </c>
      <c r="B8" s="13" t="s">
        <v>574</v>
      </c>
      <c r="C8" s="13" t="s">
        <v>579</v>
      </c>
      <c r="D8" s="13" t="s">
        <v>580</v>
      </c>
      <c r="E8" s="13" t="s">
        <v>69</v>
      </c>
      <c r="F8" s="13"/>
      <c r="G8" s="13"/>
      <c r="H8" s="13"/>
      <c r="I8" s="13"/>
      <c r="J8" s="13"/>
    </row>
    <row r="9" customFormat="false" ht="42" hidden="false" customHeight="true" outlineLevel="0" collapsed="false">
      <c r="A9" s="14" t="n">
        <v>4</v>
      </c>
      <c r="B9" s="15" t="s">
        <v>574</v>
      </c>
      <c r="C9" s="15" t="s">
        <v>581</v>
      </c>
      <c r="D9" s="15" t="s">
        <v>582</v>
      </c>
      <c r="E9" s="15" t="s">
        <v>69</v>
      </c>
      <c r="F9" s="15"/>
      <c r="G9" s="15"/>
      <c r="H9" s="15"/>
      <c r="I9" s="15"/>
      <c r="J9" s="15"/>
    </row>
    <row r="10" customFormat="false" ht="21.75" hidden="false" customHeight="true" outlineLevel="0" collapsed="false">
      <c r="A10" s="11" t="s">
        <v>583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42" hidden="false" customHeight="true" outlineLevel="0" collapsed="false">
      <c r="A11" s="12" t="n">
        <v>5</v>
      </c>
      <c r="B11" s="13" t="s">
        <v>583</v>
      </c>
      <c r="C11" s="13" t="s">
        <v>584</v>
      </c>
      <c r="D11" s="13" t="s">
        <v>585</v>
      </c>
      <c r="E11" s="13" t="s">
        <v>74</v>
      </c>
      <c r="F11" s="13"/>
      <c r="G11" s="13"/>
      <c r="H11" s="13"/>
      <c r="I11" s="13"/>
      <c r="J11" s="13"/>
    </row>
    <row r="12" customFormat="false" ht="42" hidden="false" customHeight="true" outlineLevel="0" collapsed="false">
      <c r="A12" s="14" t="n">
        <v>6</v>
      </c>
      <c r="B12" s="15" t="s">
        <v>583</v>
      </c>
      <c r="C12" s="15" t="s">
        <v>586</v>
      </c>
      <c r="D12" s="15" t="s">
        <v>587</v>
      </c>
      <c r="E12" s="15" t="s">
        <v>69</v>
      </c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2" t="n">
        <v>7</v>
      </c>
      <c r="B13" s="13" t="s">
        <v>583</v>
      </c>
      <c r="C13" s="13" t="s">
        <v>588</v>
      </c>
      <c r="D13" s="13" t="s">
        <v>589</v>
      </c>
      <c r="E13" s="13" t="s">
        <v>69</v>
      </c>
      <c r="F13" s="13"/>
      <c r="G13" s="13"/>
      <c r="H13" s="13"/>
      <c r="I13" s="13"/>
      <c r="J13" s="13"/>
    </row>
    <row r="14" customFormat="false" ht="42" hidden="false" customHeight="true" outlineLevel="0" collapsed="false">
      <c r="A14" s="14" t="n">
        <v>8</v>
      </c>
      <c r="B14" s="15" t="s">
        <v>583</v>
      </c>
      <c r="C14" s="15" t="s">
        <v>590</v>
      </c>
      <c r="D14" s="15" t="s">
        <v>591</v>
      </c>
      <c r="E14" s="15" t="s">
        <v>112</v>
      </c>
      <c r="F14" s="15"/>
      <c r="G14" s="15"/>
      <c r="H14" s="15"/>
      <c r="I14" s="15"/>
      <c r="J14" s="15"/>
    </row>
    <row r="15" customFormat="false" ht="21.75" hidden="false" customHeight="true" outlineLevel="0" collapsed="false">
      <c r="A15" s="11" t="s">
        <v>592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42" hidden="false" customHeight="true" outlineLevel="0" collapsed="false">
      <c r="A16" s="12" t="n">
        <v>9</v>
      </c>
      <c r="B16" s="13" t="s">
        <v>592</v>
      </c>
      <c r="C16" s="13" t="s">
        <v>593</v>
      </c>
      <c r="D16" s="13" t="s">
        <v>594</v>
      </c>
      <c r="E16" s="13" t="s">
        <v>69</v>
      </c>
      <c r="F16" s="13"/>
      <c r="G16" s="13"/>
      <c r="H16" s="13"/>
      <c r="I16" s="13"/>
      <c r="J16" s="13"/>
    </row>
    <row r="17" customFormat="false" ht="42" hidden="false" customHeight="true" outlineLevel="0" collapsed="false">
      <c r="A17" s="14" t="n">
        <v>10</v>
      </c>
      <c r="B17" s="15" t="s">
        <v>592</v>
      </c>
      <c r="C17" s="15" t="s">
        <v>595</v>
      </c>
      <c r="D17" s="15" t="s">
        <v>596</v>
      </c>
      <c r="E17" s="15" t="s">
        <v>74</v>
      </c>
      <c r="F17" s="15"/>
      <c r="G17" s="15"/>
      <c r="H17" s="15"/>
      <c r="I17" s="15"/>
      <c r="J17" s="15"/>
    </row>
    <row r="18" customFormat="false" ht="42" hidden="false" customHeight="true" outlineLevel="0" collapsed="false">
      <c r="A18" s="12" t="n">
        <v>11</v>
      </c>
      <c r="B18" s="13" t="s">
        <v>592</v>
      </c>
      <c r="C18" s="13" t="s">
        <v>597</v>
      </c>
      <c r="D18" s="13" t="s">
        <v>598</v>
      </c>
      <c r="E18" s="13" t="s">
        <v>69</v>
      </c>
      <c r="F18" s="13"/>
      <c r="G18" s="13"/>
      <c r="H18" s="13"/>
      <c r="I18" s="13"/>
      <c r="J18" s="13"/>
    </row>
    <row r="19" customFormat="false" ht="42" hidden="false" customHeight="true" outlineLevel="0" collapsed="false">
      <c r="A19" s="14" t="n">
        <v>12</v>
      </c>
      <c r="B19" s="15" t="s">
        <v>592</v>
      </c>
      <c r="C19" s="15" t="s">
        <v>599</v>
      </c>
      <c r="D19" s="15" t="s">
        <v>600</v>
      </c>
      <c r="E19" s="15" t="s">
        <v>74</v>
      </c>
      <c r="F19" s="15"/>
      <c r="G19" s="15"/>
      <c r="H19" s="15"/>
      <c r="I19" s="15"/>
      <c r="J19" s="15"/>
    </row>
  </sheetData>
  <mergeCells count="5">
    <mergeCell ref="A1:J1"/>
    <mergeCell ref="A2:J2"/>
    <mergeCell ref="A5:J5"/>
    <mergeCell ref="A10:J10"/>
    <mergeCell ref="A15:J15"/>
  </mergeCells>
  <dataValidations count="2">
    <dataValidation allowBlank="true" errorStyle="stop" operator="between" showDropDown="false" showErrorMessage="false" showInputMessage="false" sqref="I5:I19" type="list">
      <formula1>"Must,Should,Nice"</formula1>
      <formula2>0</formula2>
    </dataValidation>
    <dataValidation allowBlank="true" errorStyle="stop" operator="between" showDropDown="false" showErrorMessage="false" showInputMessage="false" sqref="J5:J19" type="list">
      <formula1>"Yes,No,TBD"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30" hidden="false" customHeight="true" outlineLevel="0" collapsed="false">
      <c r="A1" s="8" t="s">
        <v>601</v>
      </c>
      <c r="B1" s="8"/>
      <c r="C1" s="8"/>
      <c r="D1" s="8"/>
      <c r="E1" s="8"/>
      <c r="F1" s="8"/>
    </row>
    <row r="2" customFormat="false" ht="24" hidden="false" customHeight="true" outlineLevel="0" collapsed="false">
      <c r="A2" s="16" t="s">
        <v>602</v>
      </c>
      <c r="B2" s="16"/>
      <c r="C2" s="16"/>
      <c r="D2" s="16"/>
      <c r="E2" s="16"/>
      <c r="F2" s="16"/>
    </row>
    <row r="4" customFormat="false" ht="30" hidden="false" customHeight="true" outlineLevel="0" collapsed="false">
      <c r="A4" s="10" t="s">
        <v>21</v>
      </c>
      <c r="B4" s="10" t="s">
        <v>603</v>
      </c>
      <c r="C4" s="10" t="s">
        <v>604</v>
      </c>
      <c r="D4" s="10" t="s">
        <v>605</v>
      </c>
      <c r="E4" s="10" t="s">
        <v>606</v>
      </c>
      <c r="F4" s="10" t="s">
        <v>607</v>
      </c>
    </row>
    <row r="5" customFormat="false" ht="21.75" hidden="false" customHeight="true" outlineLevel="0" collapsed="false">
      <c r="A5" s="15" t="s">
        <v>23</v>
      </c>
      <c r="B5" s="14" t="n">
        <v>30</v>
      </c>
      <c r="C5" s="14" t="n">
        <f aca="false">COUNTIFS('1. Tier 1 — Screener'!C5:C40,"&lt;&gt;",'1. Tier 1 — Screener'!F5:F40,"&lt;&gt;")</f>
        <v>0</v>
      </c>
      <c r="D5" s="14" t="n">
        <f aca="false">COUNTIF('1. Tier 1 — Screener'!J5:J40,"Yes")</f>
        <v>0</v>
      </c>
      <c r="E5" s="14" t="n">
        <f aca="false">COUNTIF('1. Tier 1 — Screener'!I5:I40,"Must")</f>
        <v>0</v>
      </c>
      <c r="F5" s="17" t="n">
        <f aca="false">IFERROR(C5/B5,0)</f>
        <v>0</v>
      </c>
    </row>
    <row r="6" customFormat="false" ht="21.75" hidden="false" customHeight="true" outlineLevel="0" collapsed="false">
      <c r="A6" s="13" t="s">
        <v>25</v>
      </c>
      <c r="B6" s="12" t="n">
        <v>33</v>
      </c>
      <c r="C6" s="12" t="n">
        <f aca="false">COUNTIFS('2. LOS Deep-Dive'!C5:C44,"&lt;&gt;",'2. LOS Deep-Dive'!F5:F44,"&lt;&gt;")</f>
        <v>0</v>
      </c>
      <c r="D6" s="12" t="n">
        <f aca="false">COUNTIF('2. LOS Deep-Dive'!J5:J44,"Yes")</f>
        <v>0</v>
      </c>
      <c r="E6" s="12" t="n">
        <f aca="false">COUNTIF('2. LOS Deep-Dive'!I5:I44,"Must")</f>
        <v>0</v>
      </c>
      <c r="F6" s="18" t="n">
        <f aca="false">IFERROR(C6/B6,0)</f>
        <v>0</v>
      </c>
    </row>
    <row r="7" customFormat="false" ht="21.75" hidden="false" customHeight="true" outlineLevel="0" collapsed="false">
      <c r="A7" s="15" t="s">
        <v>27</v>
      </c>
      <c r="B7" s="14" t="n">
        <v>29</v>
      </c>
      <c r="C7" s="14" t="n">
        <f aca="false">COUNTIFS('3. LMS Deep-Dive'!C5:C40,"&lt;&gt;",'3. LMS Deep-Dive'!F5:F40,"&lt;&gt;")</f>
        <v>0</v>
      </c>
      <c r="D7" s="14" t="n">
        <f aca="false">COUNTIF('3. LMS Deep-Dive'!J5:J40,"Yes")</f>
        <v>0</v>
      </c>
      <c r="E7" s="14" t="n">
        <f aca="false">COUNTIF('3. LMS Deep-Dive'!I5:I40,"Must")</f>
        <v>0</v>
      </c>
      <c r="F7" s="17" t="n">
        <f aca="false">IFERROR(C7/B7,0)</f>
        <v>0</v>
      </c>
    </row>
    <row r="8" customFormat="false" ht="21.75" hidden="false" customHeight="true" outlineLevel="0" collapsed="false">
      <c r="A8" s="13" t="s">
        <v>29</v>
      </c>
      <c r="B8" s="12" t="n">
        <v>20</v>
      </c>
      <c r="C8" s="12" t="n">
        <f aca="false">COUNTIFS('4. SCF Deep-Dive'!C5:C29,"&lt;&gt;",'4. SCF Deep-Dive'!F5:F29,"&lt;&gt;")</f>
        <v>0</v>
      </c>
      <c r="D8" s="12" t="n">
        <f aca="false">COUNTIF('4. SCF Deep-Dive'!J5:J29,"Yes")</f>
        <v>0</v>
      </c>
      <c r="E8" s="12" t="n">
        <f aca="false">COUNTIF('4. SCF Deep-Dive'!I5:I29,"Must")</f>
        <v>0</v>
      </c>
      <c r="F8" s="18" t="n">
        <f aca="false">IFERROR(C8/B8,0)</f>
        <v>0</v>
      </c>
    </row>
    <row r="9" customFormat="false" ht="21.75" hidden="false" customHeight="true" outlineLevel="0" collapsed="false">
      <c r="A9" s="15" t="s">
        <v>31</v>
      </c>
      <c r="B9" s="14" t="n">
        <v>14</v>
      </c>
      <c r="C9" s="14" t="n">
        <f aca="false">COUNTIFS('5. Term Loan Deep-Dive'!C5:C22,"&lt;&gt;",'5. Term Loan Deep-Dive'!F5:F22,"&lt;&gt;")</f>
        <v>0</v>
      </c>
      <c r="D9" s="14" t="n">
        <f aca="false">COUNTIF('5. Term Loan Deep-Dive'!J5:J22,"Yes")</f>
        <v>0</v>
      </c>
      <c r="E9" s="14" t="n">
        <f aca="false">COUNTIF('5. Term Loan Deep-Dive'!I5:I22,"Must")</f>
        <v>0</v>
      </c>
      <c r="F9" s="17" t="n">
        <f aca="false">IFERROR(C9/B9,0)</f>
        <v>0</v>
      </c>
    </row>
    <row r="10" customFormat="false" ht="21.75" hidden="false" customHeight="true" outlineLevel="0" collapsed="false">
      <c r="A10" s="13" t="s">
        <v>33</v>
      </c>
      <c r="B10" s="12" t="n">
        <v>14</v>
      </c>
      <c r="C10" s="12" t="n">
        <f aca="false">COUNTIFS('6. LOS for SCF &amp; TL'!C5:C22,"&lt;&gt;",'6. LOS for SCF &amp; TL'!F5:F22,"&lt;&gt;")</f>
        <v>0</v>
      </c>
      <c r="D10" s="12" t="n">
        <f aca="false">COUNTIF('6. LOS for SCF &amp; TL'!J5:J22,"Yes")</f>
        <v>0</v>
      </c>
      <c r="E10" s="12" t="n">
        <f aca="false">COUNTIF('6. LOS for SCF &amp; TL'!I5:I22,"Must")</f>
        <v>0</v>
      </c>
      <c r="F10" s="18" t="n">
        <f aca="false">IFERROR(C10/B10,0)</f>
        <v>0</v>
      </c>
    </row>
    <row r="11" customFormat="false" ht="21.75" hidden="false" customHeight="true" outlineLevel="0" collapsed="false">
      <c r="A11" s="15" t="s">
        <v>35</v>
      </c>
      <c r="B11" s="14" t="n">
        <v>13</v>
      </c>
      <c r="C11" s="14" t="n">
        <f aca="false">COUNTIFS('7. Users, Roles &amp; Access'!C5:C20,"&lt;&gt;",'7. Users, Roles &amp; Access'!F5:F20,"&lt;&gt;")</f>
        <v>0</v>
      </c>
      <c r="D11" s="14" t="n">
        <f aca="false">COUNTIF('7. Users, Roles &amp; Access'!J5:J20,"Yes")</f>
        <v>0</v>
      </c>
      <c r="E11" s="14" t="n">
        <f aca="false">COUNTIF('7. Users, Roles &amp; Access'!I5:I20,"Must")</f>
        <v>0</v>
      </c>
      <c r="F11" s="17" t="n">
        <f aca="false">IFERROR(C11/B11,0)</f>
        <v>0</v>
      </c>
    </row>
    <row r="12" customFormat="false" ht="21.75" hidden="false" customHeight="true" outlineLevel="0" collapsed="false">
      <c r="A12" s="13" t="s">
        <v>37</v>
      </c>
      <c r="B12" s="12" t="n">
        <v>9</v>
      </c>
      <c r="C12" s="12" t="n">
        <f aca="false">COUNTIFS('8. Maker-Checker &amp; Approvals'!C5:C15,"&lt;&gt;",'8. Maker-Checker &amp; Approvals'!F5:F15,"&lt;&gt;")</f>
        <v>0</v>
      </c>
      <c r="D12" s="12" t="n">
        <f aca="false">COUNTIF('8. Maker-Checker &amp; Approvals'!J5:J15,"Yes")</f>
        <v>0</v>
      </c>
      <c r="E12" s="12" t="n">
        <f aca="false">COUNTIF('8. Maker-Checker &amp; Approvals'!I5:I15,"Must")</f>
        <v>0</v>
      </c>
      <c r="F12" s="18" t="n">
        <f aca="false">IFERROR(C12/B12,0)</f>
        <v>0</v>
      </c>
    </row>
    <row r="13" customFormat="false" ht="21.75" hidden="false" customHeight="true" outlineLevel="0" collapsed="false">
      <c r="A13" s="15" t="s">
        <v>39</v>
      </c>
      <c r="B13" s="14" t="n">
        <v>13</v>
      </c>
      <c r="C13" s="14" t="n">
        <f aca="false">COUNTIFS('9. Bulk Operations'!C5:C19,"&lt;&gt;",'9. Bulk Operations'!F5:F19,"&lt;&gt;")</f>
        <v>0</v>
      </c>
      <c r="D13" s="14" t="n">
        <f aca="false">COUNTIF('9. Bulk Operations'!J5:J19,"Yes")</f>
        <v>0</v>
      </c>
      <c r="E13" s="14" t="n">
        <f aca="false">COUNTIF('9. Bulk Operations'!I5:I19,"Must")</f>
        <v>0</v>
      </c>
      <c r="F13" s="17" t="n">
        <f aca="false">IFERROR(C13/B13,0)</f>
        <v>0</v>
      </c>
    </row>
    <row r="14" customFormat="false" ht="21.75" hidden="false" customHeight="true" outlineLevel="0" collapsed="false">
      <c r="A14" s="13" t="s">
        <v>41</v>
      </c>
      <c r="B14" s="12" t="n">
        <v>18</v>
      </c>
      <c r="C14" s="12" t="n">
        <f aca="false">COUNTIFS('10. APIs &amp; Integrations'!C5:C24,"&lt;&gt;",'10. APIs &amp; Integrations'!F5:F24,"&lt;&gt;")</f>
        <v>0</v>
      </c>
      <c r="D14" s="12" t="n">
        <f aca="false">COUNTIF('10. APIs &amp; Integrations'!J5:J24,"Yes")</f>
        <v>0</v>
      </c>
      <c r="E14" s="12" t="n">
        <f aca="false">COUNTIF('10. APIs &amp; Integrations'!I5:I24,"Must")</f>
        <v>0</v>
      </c>
      <c r="F14" s="18" t="n">
        <f aca="false">IFERROR(C14/B14,0)</f>
        <v>0</v>
      </c>
    </row>
    <row r="15" customFormat="false" ht="21.75" hidden="false" customHeight="true" outlineLevel="0" collapsed="false">
      <c r="A15" s="15" t="s">
        <v>43</v>
      </c>
      <c r="B15" s="14" t="n">
        <v>17</v>
      </c>
      <c r="C15" s="14" t="n">
        <f aca="false">COUNTIFS('11. Compliance &amp; Security'!C5:C24,"&lt;&gt;",'11. Compliance &amp; Security'!F5:F24,"&lt;&gt;")</f>
        <v>0</v>
      </c>
      <c r="D15" s="14" t="n">
        <f aca="false">COUNTIF('11. Compliance &amp; Security'!J5:J24,"Yes")</f>
        <v>0</v>
      </c>
      <c r="E15" s="14" t="n">
        <f aca="false">COUNTIF('11. Compliance &amp; Security'!I5:I24,"Must")</f>
        <v>0</v>
      </c>
      <c r="F15" s="17" t="n">
        <f aca="false">IFERROR(C15/B15,0)</f>
        <v>0</v>
      </c>
    </row>
    <row r="16" customFormat="false" ht="21.75" hidden="false" customHeight="true" outlineLevel="0" collapsed="false">
      <c r="A16" s="13" t="s">
        <v>45</v>
      </c>
      <c r="B16" s="12" t="n">
        <v>10</v>
      </c>
      <c r="C16" s="12" t="n">
        <f aca="false">COUNTIFS('12. Data Migration'!C5:C16,"&lt;&gt;",'12. Data Migration'!F5:F16,"&lt;&gt;")</f>
        <v>0</v>
      </c>
      <c r="D16" s="12" t="n">
        <f aca="false">COUNTIF('12. Data Migration'!J5:J16,"Yes")</f>
        <v>0</v>
      </c>
      <c r="E16" s="12" t="n">
        <f aca="false">COUNTIF('12. Data Migration'!I5:I16,"Must")</f>
        <v>0</v>
      </c>
      <c r="F16" s="18" t="n">
        <f aca="false">IFERROR(C16/B16,0)</f>
        <v>0</v>
      </c>
    </row>
    <row r="17" customFormat="false" ht="21.75" hidden="false" customHeight="true" outlineLevel="0" collapsed="false">
      <c r="A17" s="15" t="s">
        <v>47</v>
      </c>
      <c r="B17" s="14" t="n">
        <v>8</v>
      </c>
      <c r="C17" s="14" t="n">
        <f aca="false">COUNTIFS('13. Reporting &amp; Dashboards'!C5:C14,"&lt;&gt;",'13. Reporting &amp; Dashboards'!F5:F14,"&lt;&gt;")</f>
        <v>0</v>
      </c>
      <c r="D17" s="14" t="n">
        <f aca="false">COUNTIF('13. Reporting &amp; Dashboards'!J5:J14,"Yes")</f>
        <v>0</v>
      </c>
      <c r="E17" s="14" t="n">
        <f aca="false">COUNTIF('13. Reporting &amp; Dashboards'!I5:I14,"Must")</f>
        <v>0</v>
      </c>
      <c r="F17" s="17" t="n">
        <f aca="false">IFERROR(C17/B17,0)</f>
        <v>0</v>
      </c>
    </row>
    <row r="18" customFormat="false" ht="21.75" hidden="false" customHeight="true" outlineLevel="0" collapsed="false">
      <c r="A18" s="13" t="s">
        <v>49</v>
      </c>
      <c r="B18" s="12" t="n">
        <v>12</v>
      </c>
      <c r="C18" s="12" t="n">
        <f aca="false">COUNTIFS('14. Timeline &amp; Go-Live'!C5:C19,"&lt;&gt;",'14. Timeline &amp; Go-Live'!F5:F19,"&lt;&gt;")</f>
        <v>0</v>
      </c>
      <c r="D18" s="12" t="n">
        <f aca="false">COUNTIF('14. Timeline &amp; Go-Live'!J5:J19,"Yes")</f>
        <v>0</v>
      </c>
      <c r="E18" s="12" t="n">
        <f aca="false">COUNTIF('14. Timeline &amp; Go-Live'!I5:I19,"Must")</f>
        <v>0</v>
      </c>
      <c r="F18" s="18" t="n">
        <f aca="false">IFERROR(C18/B18,0)</f>
        <v>0</v>
      </c>
    </row>
    <row r="19" customFormat="false" ht="24" hidden="false" customHeight="true" outlineLevel="0" collapsed="false">
      <c r="A19" s="19" t="s">
        <v>608</v>
      </c>
      <c r="B19" s="19" t="n">
        <f aca="false">SUM(B5:B18)</f>
        <v>240</v>
      </c>
      <c r="C19" s="19" t="n">
        <f aca="false">SUM(C5:C18)</f>
        <v>0</v>
      </c>
      <c r="D19" s="19" t="n">
        <f aca="false">SUM(D5:D18)</f>
        <v>0</v>
      </c>
      <c r="E19" s="19" t="n">
        <f aca="false">SUM(E5:E18)</f>
        <v>0</v>
      </c>
      <c r="F19" s="20" t="n">
        <f aca="false">IFERROR(C19/B19,0)</f>
        <v>0</v>
      </c>
    </row>
    <row r="21" customFormat="false" ht="21.75" hidden="false" customHeight="true" outlineLevel="0" collapsed="false">
      <c r="A21" s="21" t="s">
        <v>609</v>
      </c>
      <c r="B21" s="21"/>
      <c r="C21" s="21"/>
      <c r="D21" s="21"/>
      <c r="E21" s="21"/>
      <c r="F21" s="21"/>
    </row>
    <row r="22" customFormat="false" ht="25.5" hidden="false" customHeight="true" outlineLevel="0" collapsed="false">
      <c r="A22" s="5" t="s">
        <v>610</v>
      </c>
      <c r="B22" s="5"/>
      <c r="C22" s="5"/>
      <c r="D22" s="5"/>
      <c r="E22" s="5"/>
      <c r="F22" s="5"/>
    </row>
    <row r="23" customFormat="false" ht="25.5" hidden="false" customHeight="true" outlineLevel="0" collapsed="false">
      <c r="A23" s="5" t="s">
        <v>611</v>
      </c>
      <c r="B23" s="5"/>
      <c r="C23" s="5"/>
      <c r="D23" s="5"/>
      <c r="E23" s="5"/>
      <c r="F23" s="5"/>
    </row>
    <row r="24" customFormat="false" ht="25.5" hidden="false" customHeight="true" outlineLevel="0" collapsed="false">
      <c r="A24" s="5" t="s">
        <v>612</v>
      </c>
      <c r="B24" s="5"/>
      <c r="C24" s="5"/>
      <c r="D24" s="5"/>
      <c r="E24" s="5"/>
      <c r="F24" s="5"/>
    </row>
    <row r="25" customFormat="false" ht="25.5" hidden="false" customHeight="true" outlineLevel="0" collapsed="false">
      <c r="A25" s="5" t="s">
        <v>613</v>
      </c>
      <c r="B25" s="5"/>
      <c r="C25" s="5"/>
      <c r="D25" s="5"/>
      <c r="E25" s="5"/>
      <c r="F25" s="5"/>
    </row>
  </sheetData>
  <mergeCells count="7">
    <mergeCell ref="A1:F1"/>
    <mergeCell ref="A2:F2"/>
    <mergeCell ref="A21:F21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2026-05-07T12:29:37Z</dcterms:created>
  <dc:creator>openpyxl</dc:creator>
  <dc:description/>
  <dc:language>en-US</dc:language>
  <cp:lastModifiedBy/>
  <dcterms:modified xsi:type="dcterms:W3CDTF">2026-05-07T12:29:37Z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
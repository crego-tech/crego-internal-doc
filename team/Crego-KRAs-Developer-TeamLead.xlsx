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veloper" sheetId="2" state="visible" r:id="rId4"/>
    <sheet name="Team Lead" sheetId="3" state="visible" r:id="rId5"/>
    <sheet name="Scoring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<sst xmlns="http://schemas.openxmlformats.org/spreadsheetml/2006/main" count="287" uniqueCount="203">
  <si>
    <t xml:space="preserve">Crego — Engineering KRA Framework</t>
  </si>
  <si>
    <t xml:space="preserve">Quarterly KRAs for Developer and Team Lead roles, anchored to the Crego Development Process (Linear states, Git flow, release &amp; hotfix policy, QA workflow, SLA matrix). Targets are deliberately basic and trackable from systems we already use: Linear, GitHub/GitLab, Sentry, ArgoCD/CI, and the release-notes folder.</t>
  </si>
  <si>
    <t xml:space="preserve">How to use this sheet</t>
  </si>
  <si>
    <t xml:space="preserve">1. At start of quarter, the manager and the team member review the role tab together and confirm targets.</t>
  </si>
  <si>
    <t xml:space="preserve">2. Each month (or per release), update the 'Actual' column with the measured number.</t>
  </si>
  <si>
    <t xml:space="preserve">3. At quarter end, score each metric 0–5: 0 = not met, 3 = on target, 5 = significantly exceeds.</t>
  </si>
  <si>
    <t xml:space="preserve">4. The 'Weighted Score' column auto-calculates; the 'Total' row gives the final quarterly rating.</t>
  </si>
  <si>
    <t xml:space="preserve">5. Map the total against the Rating Bands at the bottom of each role tab.</t>
  </si>
  <si>
    <t xml:space="preserve">Tabs</t>
  </si>
  <si>
    <t xml:space="preserve">Developer</t>
  </si>
  <si>
    <t xml:space="preserve">Individual contributor KRAs across delivery, quality, process, code review, SLA, and growth.</t>
  </si>
  <si>
    <t xml:space="preserve">Team Lead</t>
  </si>
  <si>
    <t xml:space="preserve">TL KRAs across release delivery, team velocity, quality oversight, process health, incidents, people, and stakeholder comms.</t>
  </si>
  <si>
    <t xml:space="preserve">Scoring Guide</t>
  </si>
  <si>
    <t xml:space="preserve">How to score each metric 0–5 and how the weighted total maps to ratings.</t>
  </si>
  <si>
    <t xml:space="preserve">Developer — Quarterly KRA</t>
  </si>
  <si>
    <t xml:space="preserve">Quarterly KRA. Score each metric 0–5 (0 = not met, 3 = on target, 5 = significantly exceeds). Weighted Score = Weight % × Score / 5. Final rating = sum of Weighted Scores (max = Weight %).</t>
  </si>
  <si>
    <t xml:space="preserve">#</t>
  </si>
  <si>
    <t xml:space="preserve">KRA Area</t>
  </si>
  <si>
    <t xml:space="preserve">Measurable Metric (what to track)</t>
  </si>
  <si>
    <t xml:space="preserve">Target (Quarterly)</t>
  </si>
  <si>
    <t xml:space="preserve">Data Source</t>
  </si>
  <si>
    <t xml:space="preserve">Frequency</t>
  </si>
  <si>
    <t xml:space="preserve">Weight %</t>
  </si>
  <si>
    <t xml:space="preserve">Actual</t>
  </si>
  <si>
    <t xml:space="preserve">Score (0–5)</t>
  </si>
  <si>
    <t xml:space="preserve">Weighted Score</t>
  </si>
  <si>
    <t xml:space="preserve">Notes</t>
  </si>
  <si>
    <t xml:space="preserve">Delivery &amp; Velocity</t>
  </si>
  <si>
    <t xml:space="preserve">Linear issues completed (closed to Released) per cycle vs. committed</t>
  </si>
  <si>
    <t xml:space="preserve">≥ 90% of committed</t>
  </si>
  <si>
    <t xml:space="preserve">Linear cycle report</t>
  </si>
  <si>
    <t xml:space="preserve">Per cycle (2-wk)</t>
  </si>
  <si>
    <t xml:space="preserve">Committed = points/issues moved to Todo at sprint start</t>
  </si>
  <si>
    <t xml:space="preserve">On-time delivery of assigned CRE issues against estimated due date</t>
  </si>
  <si>
    <t xml:space="preserve">≥ 85% on-time</t>
  </si>
  <si>
    <t xml:space="preserve">Linear due date vs Released date</t>
  </si>
  <si>
    <t xml:space="preserve">Monthly</t>
  </si>
  <si>
    <t xml:space="preserve">Excludes blockers raised within SLA</t>
  </si>
  <si>
    <t xml:space="preserve">Code Quality</t>
  </si>
  <si>
    <t xml:space="preserve">QA reject rate – % of issues bounced back from QA → Development</t>
  </si>
  <si>
    <t xml:space="preserve">≤ 10%</t>
  </si>
  <si>
    <t xml:space="preserve">Linear state transitions (QA→Development)</t>
  </si>
  <si>
    <t xml:space="preserve">Lower is better</t>
  </si>
  <si>
    <t xml:space="preserve">Production defect escape rate – bugs with found-in/prod attributed to dev</t>
  </si>
  <si>
    <t xml:space="preserve">≤ 2 per quarter</t>
  </si>
  <si>
    <t xml:space="preserve">Linear label found-in/prod + assignee</t>
  </si>
  <si>
    <t xml:space="preserve">Quarterly</t>
  </si>
  <si>
    <t xml:space="preserve">Sev-1/Sev-2 only; excludes legacy</t>
  </si>
  <si>
    <t xml:space="preserve">PR rework rate – PRs requiring &gt; 2 review cycles before merge</t>
  </si>
  <si>
    <t xml:space="preserve">≤ 15%</t>
  </si>
  <si>
    <t xml:space="preserve">GitHub/GitLab PR review history</t>
  </si>
  <si>
    <t xml:space="preserve">Counts PRs in develop/release branches</t>
  </si>
  <si>
    <t xml:space="preserve">Process Adherence</t>
  </si>
  <si>
    <t xml:space="preserve">Branch &amp; PR naming compliance (feature/cre-xxx-*, PR title 'CRE-xxx: …')</t>
  </si>
  <si>
    <t xml:space="preserve">100%</t>
  </si>
  <si>
    <t xml:space="preserve">Git history + PR titles</t>
  </si>
  <si>
    <t xml:space="preserve">Auto-checkable via CI lint</t>
  </si>
  <si>
    <t xml:space="preserve">Linear issue updated to correct state at each step (Dev → PR Review → QA)</t>
  </si>
  <si>
    <t xml:space="preserve">Linear audit log</t>
  </si>
  <si>
    <t xml:space="preserve">Includes adding repo/* and type/* labels</t>
  </si>
  <si>
    <t xml:space="preserve">Self-test evidence attached before moving issue to QA</t>
  </si>
  <si>
    <t xml:space="preserve">Linear comments / test notes</t>
  </si>
  <si>
    <t xml:space="preserve">Helps reduce QA reject rate</t>
  </si>
  <si>
    <t xml:space="preserve">Code Review</t>
  </si>
  <si>
    <t xml:space="preserve">PR review turnaround time (when assigned as reviewer)</t>
  </si>
  <si>
    <t xml:space="preserve">Median ≤ 24 hours</t>
  </si>
  <si>
    <t xml:space="preserve">GitHub/GitLab review timestamps</t>
  </si>
  <si>
    <t xml:space="preserve">Excludes weekends</t>
  </si>
  <si>
    <t xml:space="preserve">Reviews completed per quarter</t>
  </si>
  <si>
    <t xml:space="preserve">≥ 30 PR reviews</t>
  </si>
  <si>
    <t xml:space="preserve">GitHub/GitLab reviewer report</t>
  </si>
  <si>
    <t xml:space="preserve">Encourages active participation</t>
  </si>
  <si>
    <t xml:space="preserve">Incident &amp; SLA</t>
  </si>
  <si>
    <t xml:space="preserve">P0/P1 issue response within SLA (P0 15 min, P1 1 hr)</t>
  </si>
  <si>
    <t xml:space="preserve">≥ 95% when on-call / assigned</t>
  </si>
  <si>
    <t xml:space="preserve">PagerDuty / Slack #incidents + Linear</t>
  </si>
  <si>
    <t xml:space="preserve">Per incident</t>
  </si>
  <si>
    <t xml:space="preserve">From Crego SLA matrix</t>
  </si>
  <si>
    <t xml:space="preserve">Sentry triage – issues acknowledged within 1 business day</t>
  </si>
  <si>
    <t xml:space="preserve">≥ 90%</t>
  </si>
  <si>
    <t xml:space="preserve">Sentry assignment timestamps</t>
  </si>
  <si>
    <t xml:space="preserve">Weekly</t>
  </si>
  <si>
    <t xml:space="preserve">For owned services only</t>
  </si>
  <si>
    <t xml:space="preserve">Knowledge &amp; Growth</t>
  </si>
  <si>
    <t xml:space="preserve">Documentation / handbook / runbook contribution</t>
  </si>
  <si>
    <t xml:space="preserve">≥ 1 doc PR per quarter</t>
  </si>
  <si>
    <t xml:space="preserve">crego-internal-docs commits</t>
  </si>
  <si>
    <t xml:space="preserve">Updates count as well as new docs</t>
  </si>
  <si>
    <t xml:space="preserve">Knowledge sharing – tech talk / demo / pairing session</t>
  </si>
  <si>
    <t xml:space="preserve">≥ 1 session per quarter</t>
  </si>
  <si>
    <t xml:space="preserve">Calendar + recording link</t>
  </si>
  <si>
    <t xml:space="preserve">15-min demos are fine</t>
  </si>
  <si>
    <t xml:space="preserve">Total</t>
  </si>
  <si>
    <t xml:space="preserve">Rating Bands (Final = Total Weighted Score)</t>
  </si>
  <si>
    <t xml:space="preserve">Outstanding</t>
  </si>
  <si>
    <t xml:space="preserve">75% – 89%</t>
  </si>
  <si>
    <t xml:space="preserve">Exceeds Expectations</t>
  </si>
  <si>
    <t xml:space="preserve">60% – 74%</t>
  </si>
  <si>
    <t xml:space="preserve">Meets Expectations</t>
  </si>
  <si>
    <t xml:space="preserve">45% – 59%</t>
  </si>
  <si>
    <t xml:space="preserve">Needs Improvement</t>
  </si>
  <si>
    <t xml:space="preserve">&lt; 45%</t>
  </si>
  <si>
    <t xml:space="preserve">Unsatisfactory</t>
  </si>
  <si>
    <t xml:space="preserve">Team Lead — Quarterly KRA</t>
  </si>
  <si>
    <t xml:space="preserve">Release Delivery</t>
  </si>
  <si>
    <t xml:space="preserve">Releases shipped on planned target date (release/vX.Y.Z → vX.Y.Z)</t>
  </si>
  <si>
    <t xml:space="preserve">≥ 80% on-time</t>
  </si>
  <si>
    <t xml:space="preserve">Linear release/* label + git tag dates</t>
  </si>
  <si>
    <t xml:space="preserve">Per release</t>
  </si>
  <si>
    <t xml:space="preserve">Slip &gt; 3 business days counts as missed</t>
  </si>
  <si>
    <t xml:space="preserve">Version consistency across services in a release (major.minor match)</t>
  </si>
  <si>
    <t xml:space="preserve">100% (zero mismatches)</t>
  </si>
  <si>
    <t xml:space="preserve">Git tags across omni/flow/web/infra</t>
  </si>
  <si>
    <t xml:space="preserve">From dev-process versioning rules</t>
  </si>
  <si>
    <t xml:space="preserve">Branch sync after every prod merge (master/main → develop)</t>
  </si>
  <si>
    <t xml:space="preserve">Git log of merge commits</t>
  </si>
  <si>
    <t xml:space="preserve">Mandated by release process</t>
  </si>
  <si>
    <t xml:space="preserve">Team Velocity</t>
  </si>
  <si>
    <t xml:space="preserve">Team cycle completion rate (closed vs committed)</t>
  </si>
  <si>
    <t xml:space="preserve">≥ 85%</t>
  </si>
  <si>
    <t xml:space="preserve">Linear cycle report (team view)</t>
  </si>
  <si>
    <t xml:space="preserve">Per cycle</t>
  </si>
  <si>
    <t xml:space="preserve">Across all reports</t>
  </si>
  <si>
    <t xml:space="preserve">Issues stuck &gt; 5 business days in any single Linear state</t>
  </si>
  <si>
    <t xml:space="preserve">≤ 5% of open issues</t>
  </si>
  <si>
    <t xml:space="preserve">Linear state-age report</t>
  </si>
  <si>
    <t xml:space="preserve">Surfaces flow blockers</t>
  </si>
  <si>
    <t xml:space="preserve">Quality Oversight</t>
  </si>
  <si>
    <t xml:space="preserve">Production hotfixes per quarter</t>
  </si>
  <si>
    <t xml:space="preserve">≤ 2</t>
  </si>
  <si>
    <t xml:space="preserve">Git tags hotfix/* + Linear type/hotfix</t>
  </si>
  <si>
    <t xml:space="preserve">P0/P1 only</t>
  </si>
  <si>
    <t xml:space="preserve">Team QA reject rate (Dev ← QA transitions / total QA moves)</t>
  </si>
  <si>
    <t xml:space="preserve">Linear state transitions (team)</t>
  </si>
  <si>
    <t xml:space="preserve">Indicates dev-side quality bar</t>
  </si>
  <si>
    <t xml:space="preserve">P0 incidents in production caused by team</t>
  </si>
  <si>
    <t xml:space="preserve">≤ 1 per quarter</t>
  </si>
  <si>
    <t xml:space="preserve">Sentry + incident postmortems</t>
  </si>
  <si>
    <t xml:space="preserve">Excludes upstream/infra incidents</t>
  </si>
  <si>
    <t xml:space="preserve">Process Health</t>
  </si>
  <si>
    <t xml:space="preserve">Team PR review SLA (median time to first review)</t>
  </si>
  <si>
    <t xml:space="preserve">≤ 24 hours</t>
  </si>
  <si>
    <t xml:space="preserve">GitHub/GitLab analytics</t>
  </si>
  <si>
    <t xml:space="preserve">Set up reviewer rotation</t>
  </si>
  <si>
    <t xml:space="preserve">PRs merged with required labels (type/*, repo/*, release/*, client/*)</t>
  </si>
  <si>
    <t xml:space="preserve">≥ 95%</t>
  </si>
  <si>
    <t xml:space="preserve">Linear label audit</t>
  </si>
  <si>
    <t xml:space="preserve">Enables release notes automation</t>
  </si>
  <si>
    <t xml:space="preserve">Incident &amp; Hotfix</t>
  </si>
  <si>
    <t xml:space="preserve">Hotfix SLA met (P0 ≤ 30 min, P1 ≤ 2 hr to prod)</t>
  </si>
  <si>
    <t xml:space="preserve">Incident timeline + git tag time</t>
  </si>
  <si>
    <t xml:space="preserve">From Crego hotfix policy</t>
  </si>
  <si>
    <t xml:space="preserve">Post-hotfix checklist completed (Sentry watch 1 hr, develop synced, postmortem if P0)</t>
  </si>
  <si>
    <t xml:space="preserve">Postmortem doc + checklist</t>
  </si>
  <si>
    <t xml:space="preserve">Per hotfix</t>
  </si>
  <si>
    <t xml:space="preserve">Mandatory in dev-process doc</t>
  </si>
  <si>
    <t xml:space="preserve">People &amp; Capability</t>
  </si>
  <si>
    <t xml:space="preserve">1:1 with each direct report (cadence)</t>
  </si>
  <si>
    <t xml:space="preserve">≥ 1 per month per report</t>
  </si>
  <si>
    <t xml:space="preserve">Calendar / 1:1 notes</t>
  </si>
  <si>
    <t xml:space="preserve">Skip-week allowed with note</t>
  </si>
  <si>
    <t xml:space="preserve">Goal-setting &amp; feedback documented for each report at quarter start/end</t>
  </si>
  <si>
    <t xml:space="preserve">100% reports covered</t>
  </si>
  <si>
    <t xml:space="preserve">Performance tracker</t>
  </si>
  <si>
    <t xml:space="preserve">Aligns to KRA review cycle</t>
  </si>
  <si>
    <t xml:space="preserve">Process improvement / automation shipped</t>
  </si>
  <si>
    <t xml:space="preserve">≥ 1 per quarter</t>
  </si>
  <si>
    <t xml:space="preserve">Linear type/improvement label + owner=TL</t>
  </si>
  <si>
    <t xml:space="preserve">E.g., CI check, dashboard, runbook</t>
  </si>
  <si>
    <t xml:space="preserve">Stakeholder Comms</t>
  </si>
  <si>
    <t xml:space="preserve">Release notes published before production tag</t>
  </si>
  <si>
    <t xml:space="preserve">100% releases</t>
  </si>
  <si>
    <t xml:space="preserve">release-notes/ folder + tag date</t>
  </si>
  <si>
    <t xml:space="preserve">Internal + client variants</t>
  </si>
  <si>
    <t xml:space="preserve">Weekly status update to product / leadership</t>
  </si>
  <si>
    <t xml:space="preserve">≥ 90% weeks on-time</t>
  </si>
  <si>
    <t xml:space="preserve">Slack / email thread</t>
  </si>
  <si>
    <t xml:space="preserve">Skip with explicit OOO note</t>
  </si>
  <si>
    <t xml:space="preserve">Score</t>
  </si>
  <si>
    <t xml:space="preserve">Label</t>
  </si>
  <si>
    <t xml:space="preserve">Definition</t>
  </si>
  <si>
    <t xml:space="preserve">Example</t>
  </si>
  <si>
    <t xml:space="preserve">Not Met</t>
  </si>
  <si>
    <t xml:space="preserve">Metric was not achieved; significant gap.</t>
  </si>
  <si>
    <t xml:space="preserve">QA reject rate 30% vs ≤10% target.</t>
  </si>
  <si>
    <t xml:space="preserve">Below Target</t>
  </si>
  <si>
    <t xml:space="preserve">Material miss; some progress.</t>
  </si>
  <si>
    <t xml:space="preserve">PR review SLA 48h vs 24h.</t>
  </si>
  <si>
    <t xml:space="preserve">Approaching</t>
  </si>
  <si>
    <t xml:space="preserve">Close to target but short.</t>
  </si>
  <si>
    <t xml:space="preserve">Cycle completion 78% vs 85%.</t>
  </si>
  <si>
    <t xml:space="preserve">On Target</t>
  </si>
  <si>
    <t xml:space="preserve">Met the agreed target.</t>
  </si>
  <si>
    <t xml:space="preserve">Releases on-time 82% vs ≥80%.</t>
  </si>
  <si>
    <t xml:space="preserve">Exceeds</t>
  </si>
  <si>
    <t xml:space="preserve">Clearly above target without trade-offs.</t>
  </si>
  <si>
    <t xml:space="preserve">Production defect escape 0 vs ≤2.</t>
  </si>
  <si>
    <t xml:space="preserve">Significantly exceeds; raises the bar for the team.</t>
  </si>
  <si>
    <t xml:space="preserve">Zero P0 incidents + new automation shipped.</t>
  </si>
  <si>
    <t xml:space="preserve">Rating Bands</t>
  </si>
  <si>
    <t xml:space="preserve">Total Weighted Score</t>
  </si>
  <si>
    <t xml:space="preserve">Rating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</si>
</sst>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EEBF7"/>
        <bgColor rgb="FFCCFFFF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60" hidden="false" customHeight="tru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</v>
      </c>
    </row>
    <row r="6" customFormat="false" ht="15" hidden="false" customHeight="true" outlineLevel="0" collapsed="false">
      <c r="A6" s="2" t="s">
        <v>3</v>
      </c>
      <c r="B6" s="2"/>
      <c r="C6" s="2"/>
      <c r="D6" s="2"/>
      <c r="E6" s="2"/>
      <c r="F6" s="2"/>
    </row>
    <row r="7" customFormat="false" ht="15" hidden="false" customHeight="true" outlineLevel="0" collapsed="false">
      <c r="A7" s="2" t="s">
        <v>4</v>
      </c>
      <c r="B7" s="2"/>
      <c r="C7" s="2"/>
      <c r="D7" s="2"/>
      <c r="E7" s="2"/>
      <c r="F7" s="2"/>
    </row>
    <row r="8" customFormat="false" ht="15" hidden="false" customHeight="true" outlineLevel="0" collapsed="false">
      <c r="A8" s="2" t="s">
        <v>5</v>
      </c>
      <c r="B8" s="2"/>
      <c r="C8" s="2"/>
      <c r="D8" s="2"/>
      <c r="E8" s="2"/>
      <c r="F8" s="2"/>
    </row>
    <row r="9" customFormat="false" ht="15" hidden="false" customHeight="true" outlineLevel="0" collapsed="false">
      <c r="A9" s="2" t="s">
        <v>6</v>
      </c>
      <c r="B9" s="2"/>
      <c r="C9" s="2"/>
      <c r="D9" s="2"/>
      <c r="E9" s="2"/>
      <c r="F9" s="2"/>
    </row>
    <row r="10" customFormat="false" ht="15" hidden="false" customHeight="true" outlineLevel="0" collapsed="false">
      <c r="A10" s="2" t="s">
        <v>7</v>
      </c>
      <c r="B10" s="2"/>
      <c r="C10" s="2"/>
      <c r="D10" s="2"/>
      <c r="E10" s="2"/>
      <c r="F10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  <c r="B13" s="4" t="s">
        <v>10</v>
      </c>
      <c r="C13" s="4"/>
      <c r="D13" s="4"/>
      <c r="E13" s="4"/>
      <c r="F13" s="4"/>
    </row>
    <row r="14" customFormat="false" ht="15" hidden="false" customHeight="true" outlineLevel="0" collapsed="false">
      <c r="A14" s="3" t="s">
        <v>11</v>
      </c>
      <c r="B14" s="4" t="s">
        <v>12</v>
      </c>
      <c r="C14" s="4"/>
      <c r="D14" s="4"/>
      <c r="E14" s="4"/>
      <c r="F14" s="4"/>
    </row>
    <row r="15" customFormat="false" ht="15" hidden="false" customHeight="true" outlineLevel="0" collapsed="false">
      <c r="A15" s="3" t="s">
        <v>13</v>
      </c>
      <c r="B15" s="4" t="s">
        <v>14</v>
      </c>
      <c r="C15" s="4"/>
      <c r="D15" s="4"/>
      <c r="E15" s="4"/>
      <c r="F15" s="4"/>
    </row>
  </sheetData>
  <mergeCells count="10">
    <mergeCell ref="A1:F1"/>
    <mergeCell ref="A3:F3"/>
    <mergeCell ref="A6:F6"/>
    <mergeCell ref="A7:F7"/>
    <mergeCell ref="A8:F8"/>
    <mergeCell ref="A9:F9"/>
    <mergeCell ref="A10:F10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2"/>
  </cols>
  <sheetData>
    <row r="1" customFormat="false" ht="19.7" hidden="false" customHeight="false" outlineLevel="0" collapsed="false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31.5" hidden="false" customHeight="true" outlineLevel="0" collapsed="false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1.5" hidden="false" customHeight="tru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</row>
    <row r="5" customFormat="false" ht="42" hidden="false" customHeight="true" outlineLevel="0" collapsed="false">
      <c r="A5" s="8" t="n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8" t="s">
        <v>32</v>
      </c>
      <c r="G5" s="10" t="n">
        <v>0.1</v>
      </c>
      <c r="H5" s="8"/>
      <c r="I5" s="8"/>
      <c r="J5" s="10" t="n">
        <f aca="false">IFERROR(G5*I5/5,0)</f>
        <v>0</v>
      </c>
      <c r="K5" s="9" t="s">
        <v>33</v>
      </c>
    </row>
    <row r="6" customFormat="false" ht="42" hidden="false" customHeight="true" outlineLevel="0" collapsed="false">
      <c r="A6" s="11" t="n">
        <v>2</v>
      </c>
      <c r="B6" s="12" t="s">
        <v>28</v>
      </c>
      <c r="C6" s="12" t="s">
        <v>34</v>
      </c>
      <c r="D6" s="12" t="s">
        <v>35</v>
      </c>
      <c r="E6" s="12" t="s">
        <v>36</v>
      </c>
      <c r="F6" s="11" t="s">
        <v>37</v>
      </c>
      <c r="G6" s="13" t="n">
        <v>0.1</v>
      </c>
      <c r="H6" s="11"/>
      <c r="I6" s="11"/>
      <c r="J6" s="13" t="n">
        <f aca="false">IFERROR(G6*I6/5,0)</f>
        <v>0</v>
      </c>
      <c r="K6" s="12" t="s">
        <v>38</v>
      </c>
    </row>
    <row r="7" customFormat="false" ht="42" hidden="false" customHeight="true" outlineLevel="0" collapsed="false">
      <c r="A7" s="8" t="n">
        <v>3</v>
      </c>
      <c r="B7" s="9" t="s">
        <v>39</v>
      </c>
      <c r="C7" s="9" t="s">
        <v>40</v>
      </c>
      <c r="D7" s="9" t="s">
        <v>41</v>
      </c>
      <c r="E7" s="9" t="s">
        <v>42</v>
      </c>
      <c r="F7" s="8" t="s">
        <v>37</v>
      </c>
      <c r="G7" s="10" t="n">
        <v>0.1</v>
      </c>
      <c r="H7" s="8"/>
      <c r="I7" s="8"/>
      <c r="J7" s="10" t="n">
        <f aca="false">IFERROR(G7*I7/5,0)</f>
        <v>0</v>
      </c>
      <c r="K7" s="9" t="s">
        <v>43</v>
      </c>
    </row>
    <row r="8" customFormat="false" ht="42" hidden="false" customHeight="true" outlineLevel="0" collapsed="false">
      <c r="A8" s="11" t="n">
        <v>4</v>
      </c>
      <c r="B8" s="12" t="s">
        <v>39</v>
      </c>
      <c r="C8" s="12" t="s">
        <v>44</v>
      </c>
      <c r="D8" s="12" t="s">
        <v>45</v>
      </c>
      <c r="E8" s="12" t="s">
        <v>46</v>
      </c>
      <c r="F8" s="11" t="s">
        <v>47</v>
      </c>
      <c r="G8" s="13" t="n">
        <v>0.08</v>
      </c>
      <c r="H8" s="11"/>
      <c r="I8" s="11"/>
      <c r="J8" s="13" t="n">
        <f aca="false">IFERROR(G8*I8/5,0)</f>
        <v>0</v>
      </c>
      <c r="K8" s="12" t="s">
        <v>48</v>
      </c>
    </row>
    <row r="9" customFormat="false" ht="42" hidden="false" customHeight="true" outlineLevel="0" collapsed="false">
      <c r="A9" s="8" t="n">
        <v>5</v>
      </c>
      <c r="B9" s="9" t="s">
        <v>39</v>
      </c>
      <c r="C9" s="9" t="s">
        <v>49</v>
      </c>
      <c r="D9" s="9" t="s">
        <v>50</v>
      </c>
      <c r="E9" s="9" t="s">
        <v>51</v>
      </c>
      <c r="F9" s="8" t="s">
        <v>37</v>
      </c>
      <c r="G9" s="10" t="n">
        <v>0.07</v>
      </c>
      <c r="H9" s="8"/>
      <c r="I9" s="8"/>
      <c r="J9" s="10" t="n">
        <f aca="false">IFERROR(G9*I9/5,0)</f>
        <v>0</v>
      </c>
      <c r="K9" s="9" t="s">
        <v>52</v>
      </c>
    </row>
    <row r="10" customFormat="false" ht="42" hidden="false" customHeight="true" outlineLevel="0" collapsed="false">
      <c r="A10" s="11" t="n">
        <v>6</v>
      </c>
      <c r="B10" s="12" t="s">
        <v>53</v>
      </c>
      <c r="C10" s="12" t="s">
        <v>54</v>
      </c>
      <c r="D10" s="12" t="s">
        <v>55</v>
      </c>
      <c r="E10" s="12" t="s">
        <v>56</v>
      </c>
      <c r="F10" s="11" t="s">
        <v>37</v>
      </c>
      <c r="G10" s="13" t="n">
        <v>0.05</v>
      </c>
      <c r="H10" s="11"/>
      <c r="I10" s="11"/>
      <c r="J10" s="13" t="n">
        <f aca="false">IFERROR(G10*I10/5,0)</f>
        <v>0</v>
      </c>
      <c r="K10" s="12" t="s">
        <v>57</v>
      </c>
    </row>
    <row r="11" customFormat="false" ht="42" hidden="false" customHeight="true" outlineLevel="0" collapsed="false">
      <c r="A11" s="8" t="n">
        <v>7</v>
      </c>
      <c r="B11" s="9" t="s">
        <v>53</v>
      </c>
      <c r="C11" s="9" t="s">
        <v>58</v>
      </c>
      <c r="D11" s="9" t="s">
        <v>55</v>
      </c>
      <c r="E11" s="9" t="s">
        <v>59</v>
      </c>
      <c r="F11" s="8" t="s">
        <v>37</v>
      </c>
      <c r="G11" s="10" t="n">
        <v>0.05</v>
      </c>
      <c r="H11" s="8"/>
      <c r="I11" s="8"/>
      <c r="J11" s="10" t="n">
        <f aca="false">IFERROR(G11*I11/5,0)</f>
        <v>0</v>
      </c>
      <c r="K11" s="9" t="s">
        <v>60</v>
      </c>
    </row>
    <row r="12" customFormat="false" ht="42" hidden="false" customHeight="true" outlineLevel="0" collapsed="false">
      <c r="A12" s="11" t="n">
        <v>8</v>
      </c>
      <c r="B12" s="12" t="s">
        <v>53</v>
      </c>
      <c r="C12" s="12" t="s">
        <v>61</v>
      </c>
      <c r="D12" s="12" t="s">
        <v>55</v>
      </c>
      <c r="E12" s="12" t="s">
        <v>62</v>
      </c>
      <c r="F12" s="11" t="s">
        <v>37</v>
      </c>
      <c r="G12" s="13" t="n">
        <v>0.05</v>
      </c>
      <c r="H12" s="11"/>
      <c r="I12" s="11"/>
      <c r="J12" s="13" t="n">
        <f aca="false">IFERROR(G12*I12/5,0)</f>
        <v>0</v>
      </c>
      <c r="K12" s="12" t="s">
        <v>63</v>
      </c>
    </row>
    <row r="13" customFormat="false" ht="42" hidden="false" customHeight="true" outlineLevel="0" collapsed="false">
      <c r="A13" s="8" t="n">
        <v>9</v>
      </c>
      <c r="B13" s="9" t="s">
        <v>64</v>
      </c>
      <c r="C13" s="9" t="s">
        <v>65</v>
      </c>
      <c r="D13" s="9" t="s">
        <v>66</v>
      </c>
      <c r="E13" s="9" t="s">
        <v>67</v>
      </c>
      <c r="F13" s="8" t="s">
        <v>37</v>
      </c>
      <c r="G13" s="10" t="n">
        <v>0.1</v>
      </c>
      <c r="H13" s="8"/>
      <c r="I13" s="8"/>
      <c r="J13" s="10" t="n">
        <f aca="false">IFERROR(G13*I13/5,0)</f>
        <v>0</v>
      </c>
      <c r="K13" s="9" t="s">
        <v>68</v>
      </c>
    </row>
    <row r="14" customFormat="false" ht="42" hidden="false" customHeight="true" outlineLevel="0" collapsed="false">
      <c r="A14" s="11" t="n">
        <v>10</v>
      </c>
      <c r="B14" s="12" t="s">
        <v>64</v>
      </c>
      <c r="C14" s="12" t="s">
        <v>69</v>
      </c>
      <c r="D14" s="12" t="s">
        <v>70</v>
      </c>
      <c r="E14" s="12" t="s">
        <v>71</v>
      </c>
      <c r="F14" s="11" t="s">
        <v>47</v>
      </c>
      <c r="G14" s="13" t="n">
        <v>0.05</v>
      </c>
      <c r="H14" s="11"/>
      <c r="I14" s="11"/>
      <c r="J14" s="13" t="n">
        <f aca="false">IFERROR(G14*I14/5,0)</f>
        <v>0</v>
      </c>
      <c r="K14" s="12" t="s">
        <v>72</v>
      </c>
    </row>
    <row r="15" customFormat="false" ht="42" hidden="false" customHeight="true" outlineLevel="0" collapsed="false">
      <c r="A15" s="8" t="n">
        <v>11</v>
      </c>
      <c r="B15" s="9" t="s">
        <v>73</v>
      </c>
      <c r="C15" s="9" t="s">
        <v>74</v>
      </c>
      <c r="D15" s="9" t="s">
        <v>75</v>
      </c>
      <c r="E15" s="9" t="s">
        <v>76</v>
      </c>
      <c r="F15" s="8" t="s">
        <v>77</v>
      </c>
      <c r="G15" s="10" t="n">
        <v>0.1</v>
      </c>
      <c r="H15" s="8"/>
      <c r="I15" s="8"/>
      <c r="J15" s="10" t="n">
        <f aca="false">IFERROR(G15*I15/5,0)</f>
        <v>0</v>
      </c>
      <c r="K15" s="9" t="s">
        <v>78</v>
      </c>
    </row>
    <row r="16" customFormat="false" ht="42" hidden="false" customHeight="true" outlineLevel="0" collapsed="false">
      <c r="A16" s="11" t="n">
        <v>12</v>
      </c>
      <c r="B16" s="12" t="s">
        <v>73</v>
      </c>
      <c r="C16" s="12" t="s">
        <v>79</v>
      </c>
      <c r="D16" s="12" t="s">
        <v>80</v>
      </c>
      <c r="E16" s="12" t="s">
        <v>81</v>
      </c>
      <c r="F16" s="11" t="s">
        <v>82</v>
      </c>
      <c r="G16" s="13" t="n">
        <v>0.05</v>
      </c>
      <c r="H16" s="11"/>
      <c r="I16" s="11"/>
      <c r="J16" s="13" t="n">
        <f aca="false">IFERROR(G16*I16/5,0)</f>
        <v>0</v>
      </c>
      <c r="K16" s="12" t="s">
        <v>83</v>
      </c>
    </row>
    <row r="17" customFormat="false" ht="42" hidden="false" customHeight="true" outlineLevel="0" collapsed="false">
      <c r="A17" s="8" t="n">
        <v>13</v>
      </c>
      <c r="B17" s="9" t="s">
        <v>84</v>
      </c>
      <c r="C17" s="9" t="s">
        <v>85</v>
      </c>
      <c r="D17" s="9" t="s">
        <v>86</v>
      </c>
      <c r="E17" s="9" t="s">
        <v>87</v>
      </c>
      <c r="F17" s="8" t="s">
        <v>47</v>
      </c>
      <c r="G17" s="10" t="n">
        <v>0.05</v>
      </c>
      <c r="H17" s="8"/>
      <c r="I17" s="8"/>
      <c r="J17" s="10" t="n">
        <f aca="false">IFERROR(G17*I17/5,0)</f>
        <v>0</v>
      </c>
      <c r="K17" s="9" t="s">
        <v>88</v>
      </c>
    </row>
    <row r="18" customFormat="false" ht="42" hidden="false" customHeight="true" outlineLevel="0" collapsed="false">
      <c r="A18" s="11" t="n">
        <v>14</v>
      </c>
      <c r="B18" s="12" t="s">
        <v>84</v>
      </c>
      <c r="C18" s="12" t="s">
        <v>89</v>
      </c>
      <c r="D18" s="12" t="s">
        <v>90</v>
      </c>
      <c r="E18" s="12" t="s">
        <v>91</v>
      </c>
      <c r="F18" s="11" t="s">
        <v>47</v>
      </c>
      <c r="G18" s="13" t="n">
        <v>0.05</v>
      </c>
      <c r="H18" s="11"/>
      <c r="I18" s="11"/>
      <c r="J18" s="13" t="n">
        <f aca="false">IFERROR(G18*I18/5,0)</f>
        <v>0</v>
      </c>
      <c r="K18" s="12" t="s">
        <v>92</v>
      </c>
    </row>
    <row r="19" customFormat="false" ht="15" hidden="false" customHeight="false" outlineLevel="0" collapsed="false">
      <c r="A19" s="14"/>
      <c r="B19" s="14" t="s">
        <v>93</v>
      </c>
      <c r="C19" s="14"/>
      <c r="D19" s="14"/>
      <c r="E19" s="14"/>
      <c r="F19" s="14"/>
      <c r="G19" s="15" t="n">
        <f aca="false">SUM(G5:G18)</f>
        <v>1</v>
      </c>
      <c r="H19" s="14"/>
      <c r="I19" s="14"/>
      <c r="J19" s="15" t="n">
        <f aca="false">SUM(J5:J18)</f>
        <v>0</v>
      </c>
      <c r="K19" s="14"/>
    </row>
    <row r="21" customFormat="false" ht="15" hidden="false" customHeight="false" outlineLevel="0" collapsed="false">
      <c r="B21" s="3" t="s">
        <v>94</v>
      </c>
    </row>
    <row r="22" customFormat="false" ht="15" hidden="false" customHeight="false" outlineLevel="0" collapsed="false">
      <c r="B22" s="16" t="s">
        <v>80</v>
      </c>
      <c r="C22" s="16" t="s">
        <v>95</v>
      </c>
    </row>
    <row r="23" customFormat="false" ht="15" hidden="false" customHeight="false" outlineLevel="0" collapsed="false">
      <c r="B23" s="16" t="s">
        <v>96</v>
      </c>
      <c r="C23" s="16" t="s">
        <v>97</v>
      </c>
    </row>
    <row r="24" customFormat="false" ht="15" hidden="false" customHeight="false" outlineLevel="0" collapsed="false">
      <c r="B24" s="16" t="s">
        <v>98</v>
      </c>
      <c r="C24" s="16" t="s">
        <v>99</v>
      </c>
    </row>
    <row r="25" customFormat="false" ht="15" hidden="false" customHeight="false" outlineLevel="0" collapsed="false">
      <c r="B25" s="16" t="s">
        <v>100</v>
      </c>
      <c r="C25" s="16" t="s">
        <v>101</v>
      </c>
    </row>
    <row r="26" customFormat="false" ht="15" hidden="false" customHeight="false" outlineLevel="0" collapsed="false">
      <c r="B26" s="16" t="s">
        <v>102</v>
      </c>
      <c r="C26" s="16" t="s">
        <v>103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2"/>
  </cols>
  <sheetData>
    <row r="1" customFormat="false" ht="19.7" hidden="false" customHeight="false" outlineLevel="0" collapsed="false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31.5" hidden="false" customHeight="true" outlineLevel="0" collapsed="false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1.5" hidden="false" customHeight="tru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</row>
    <row r="5" customFormat="false" ht="42" hidden="false" customHeight="true" outlineLevel="0" collapsed="false">
      <c r="A5" s="8" t="n">
        <v>1</v>
      </c>
      <c r="B5" s="9" t="s">
        <v>105</v>
      </c>
      <c r="C5" s="9" t="s">
        <v>106</v>
      </c>
      <c r="D5" s="9" t="s">
        <v>107</v>
      </c>
      <c r="E5" s="9" t="s">
        <v>108</v>
      </c>
      <c r="F5" s="8" t="s">
        <v>109</v>
      </c>
      <c r="G5" s="10" t="n">
        <v>0.1</v>
      </c>
      <c r="H5" s="8"/>
      <c r="I5" s="8"/>
      <c r="J5" s="10" t="n">
        <f aca="false">IFERROR(G5*I5/5,0)</f>
        <v>0</v>
      </c>
      <c r="K5" s="9" t="s">
        <v>110</v>
      </c>
    </row>
    <row r="6" customFormat="false" ht="42" hidden="false" customHeight="true" outlineLevel="0" collapsed="false">
      <c r="A6" s="11" t="n">
        <v>2</v>
      </c>
      <c r="B6" s="12" t="s">
        <v>105</v>
      </c>
      <c r="C6" s="12" t="s">
        <v>111</v>
      </c>
      <c r="D6" s="12" t="s">
        <v>112</v>
      </c>
      <c r="E6" s="12" t="s">
        <v>113</v>
      </c>
      <c r="F6" s="11" t="s">
        <v>109</v>
      </c>
      <c r="G6" s="13" t="n">
        <v>0.05</v>
      </c>
      <c r="H6" s="11"/>
      <c r="I6" s="11"/>
      <c r="J6" s="13" t="n">
        <f aca="false">IFERROR(G6*I6/5,0)</f>
        <v>0</v>
      </c>
      <c r="K6" s="12" t="s">
        <v>114</v>
      </c>
    </row>
    <row r="7" customFormat="false" ht="42" hidden="false" customHeight="true" outlineLevel="0" collapsed="false">
      <c r="A7" s="8" t="n">
        <v>3</v>
      </c>
      <c r="B7" s="9" t="s">
        <v>105</v>
      </c>
      <c r="C7" s="9" t="s">
        <v>115</v>
      </c>
      <c r="D7" s="9" t="s">
        <v>55</v>
      </c>
      <c r="E7" s="9" t="s">
        <v>116</v>
      </c>
      <c r="F7" s="8" t="s">
        <v>109</v>
      </c>
      <c r="G7" s="10" t="n">
        <v>0.05</v>
      </c>
      <c r="H7" s="8"/>
      <c r="I7" s="8"/>
      <c r="J7" s="10" t="n">
        <f aca="false">IFERROR(G7*I7/5,0)</f>
        <v>0</v>
      </c>
      <c r="K7" s="9" t="s">
        <v>117</v>
      </c>
    </row>
    <row r="8" customFormat="false" ht="42" hidden="false" customHeight="true" outlineLevel="0" collapsed="false">
      <c r="A8" s="11" t="n">
        <v>4</v>
      </c>
      <c r="B8" s="12" t="s">
        <v>118</v>
      </c>
      <c r="C8" s="12" t="s">
        <v>119</v>
      </c>
      <c r="D8" s="12" t="s">
        <v>120</v>
      </c>
      <c r="E8" s="12" t="s">
        <v>121</v>
      </c>
      <c r="F8" s="11" t="s">
        <v>122</v>
      </c>
      <c r="G8" s="13" t="n">
        <v>0.1</v>
      </c>
      <c r="H8" s="11"/>
      <c r="I8" s="11"/>
      <c r="J8" s="13" t="n">
        <f aca="false">IFERROR(G8*I8/5,0)</f>
        <v>0</v>
      </c>
      <c r="K8" s="12" t="s">
        <v>123</v>
      </c>
    </row>
    <row r="9" customFormat="false" ht="42" hidden="false" customHeight="true" outlineLevel="0" collapsed="false">
      <c r="A9" s="8" t="n">
        <v>5</v>
      </c>
      <c r="B9" s="9" t="s">
        <v>118</v>
      </c>
      <c r="C9" s="9" t="s">
        <v>124</v>
      </c>
      <c r="D9" s="9" t="s">
        <v>125</v>
      </c>
      <c r="E9" s="9" t="s">
        <v>126</v>
      </c>
      <c r="F9" s="8" t="s">
        <v>82</v>
      </c>
      <c r="G9" s="10" t="n">
        <v>0.05</v>
      </c>
      <c r="H9" s="8"/>
      <c r="I9" s="8"/>
      <c r="J9" s="10" t="n">
        <f aca="false">IFERROR(G9*I9/5,0)</f>
        <v>0</v>
      </c>
      <c r="K9" s="9" t="s">
        <v>127</v>
      </c>
    </row>
    <row r="10" customFormat="false" ht="42" hidden="false" customHeight="true" outlineLevel="0" collapsed="false">
      <c r="A10" s="11" t="n">
        <v>6</v>
      </c>
      <c r="B10" s="12" t="s">
        <v>128</v>
      </c>
      <c r="C10" s="12" t="s">
        <v>129</v>
      </c>
      <c r="D10" s="12" t="s">
        <v>130</v>
      </c>
      <c r="E10" s="12" t="s">
        <v>131</v>
      </c>
      <c r="F10" s="11" t="s">
        <v>47</v>
      </c>
      <c r="G10" s="13" t="n">
        <v>0.05</v>
      </c>
      <c r="H10" s="11"/>
      <c r="I10" s="11"/>
      <c r="J10" s="13" t="n">
        <f aca="false">IFERROR(G10*I10/5,0)</f>
        <v>0</v>
      </c>
      <c r="K10" s="12" t="s">
        <v>132</v>
      </c>
    </row>
    <row r="11" customFormat="false" ht="42" hidden="false" customHeight="true" outlineLevel="0" collapsed="false">
      <c r="A11" s="8" t="n">
        <v>7</v>
      </c>
      <c r="B11" s="9" t="s">
        <v>128</v>
      </c>
      <c r="C11" s="9" t="s">
        <v>133</v>
      </c>
      <c r="D11" s="9" t="s">
        <v>41</v>
      </c>
      <c r="E11" s="9" t="s">
        <v>134</v>
      </c>
      <c r="F11" s="8" t="s">
        <v>37</v>
      </c>
      <c r="G11" s="10" t="n">
        <v>0.05</v>
      </c>
      <c r="H11" s="8"/>
      <c r="I11" s="8"/>
      <c r="J11" s="10" t="n">
        <f aca="false">IFERROR(G11*I11/5,0)</f>
        <v>0</v>
      </c>
      <c r="K11" s="9" t="s">
        <v>135</v>
      </c>
    </row>
    <row r="12" customFormat="false" ht="42" hidden="false" customHeight="true" outlineLevel="0" collapsed="false">
      <c r="A12" s="11" t="n">
        <v>8</v>
      </c>
      <c r="B12" s="12" t="s">
        <v>128</v>
      </c>
      <c r="C12" s="12" t="s">
        <v>136</v>
      </c>
      <c r="D12" s="12" t="s">
        <v>137</v>
      </c>
      <c r="E12" s="12" t="s">
        <v>138</v>
      </c>
      <c r="F12" s="11" t="s">
        <v>47</v>
      </c>
      <c r="G12" s="13" t="n">
        <v>0.05</v>
      </c>
      <c r="H12" s="11"/>
      <c r="I12" s="11"/>
      <c r="J12" s="13" t="n">
        <f aca="false">IFERROR(G12*I12/5,0)</f>
        <v>0</v>
      </c>
      <c r="K12" s="12" t="s">
        <v>139</v>
      </c>
    </row>
    <row r="13" customFormat="false" ht="42" hidden="false" customHeight="true" outlineLevel="0" collapsed="false">
      <c r="A13" s="8" t="n">
        <v>9</v>
      </c>
      <c r="B13" s="9" t="s">
        <v>140</v>
      </c>
      <c r="C13" s="9" t="s">
        <v>141</v>
      </c>
      <c r="D13" s="9" t="s">
        <v>142</v>
      </c>
      <c r="E13" s="9" t="s">
        <v>143</v>
      </c>
      <c r="F13" s="8" t="s">
        <v>37</v>
      </c>
      <c r="G13" s="10" t="n">
        <v>0.05</v>
      </c>
      <c r="H13" s="8"/>
      <c r="I13" s="8"/>
      <c r="J13" s="10" t="n">
        <f aca="false">IFERROR(G13*I13/5,0)</f>
        <v>0</v>
      </c>
      <c r="K13" s="9" t="s">
        <v>144</v>
      </c>
    </row>
    <row r="14" customFormat="false" ht="42" hidden="false" customHeight="true" outlineLevel="0" collapsed="false">
      <c r="A14" s="11" t="n">
        <v>10</v>
      </c>
      <c r="B14" s="12" t="s">
        <v>140</v>
      </c>
      <c r="C14" s="12" t="s">
        <v>145</v>
      </c>
      <c r="D14" s="12" t="s">
        <v>146</v>
      </c>
      <c r="E14" s="12" t="s">
        <v>147</v>
      </c>
      <c r="F14" s="11" t="s">
        <v>37</v>
      </c>
      <c r="G14" s="13" t="n">
        <v>0.05</v>
      </c>
      <c r="H14" s="11"/>
      <c r="I14" s="11"/>
      <c r="J14" s="13" t="n">
        <f aca="false">IFERROR(G14*I14/5,0)</f>
        <v>0</v>
      </c>
      <c r="K14" s="12" t="s">
        <v>148</v>
      </c>
    </row>
    <row r="15" customFormat="false" ht="42" hidden="false" customHeight="true" outlineLevel="0" collapsed="false">
      <c r="A15" s="8" t="n">
        <v>11</v>
      </c>
      <c r="B15" s="9" t="s">
        <v>149</v>
      </c>
      <c r="C15" s="9" t="s">
        <v>150</v>
      </c>
      <c r="D15" s="9" t="s">
        <v>146</v>
      </c>
      <c r="E15" s="9" t="s">
        <v>151</v>
      </c>
      <c r="F15" s="8" t="s">
        <v>77</v>
      </c>
      <c r="G15" s="10" t="n">
        <v>0.1</v>
      </c>
      <c r="H15" s="8"/>
      <c r="I15" s="8"/>
      <c r="J15" s="10" t="n">
        <f aca="false">IFERROR(G15*I15/5,0)</f>
        <v>0</v>
      </c>
      <c r="K15" s="9" t="s">
        <v>152</v>
      </c>
    </row>
    <row r="16" customFormat="false" ht="42" hidden="false" customHeight="true" outlineLevel="0" collapsed="false">
      <c r="A16" s="11" t="n">
        <v>12</v>
      </c>
      <c r="B16" s="12" t="s">
        <v>149</v>
      </c>
      <c r="C16" s="12" t="s">
        <v>153</v>
      </c>
      <c r="D16" s="12" t="s">
        <v>55</v>
      </c>
      <c r="E16" s="12" t="s">
        <v>154</v>
      </c>
      <c r="F16" s="11" t="s">
        <v>155</v>
      </c>
      <c r="G16" s="13" t="n">
        <v>0.05</v>
      </c>
      <c r="H16" s="11"/>
      <c r="I16" s="11"/>
      <c r="J16" s="13" t="n">
        <f aca="false">IFERROR(G16*I16/5,0)</f>
        <v>0</v>
      </c>
      <c r="K16" s="12" t="s">
        <v>156</v>
      </c>
    </row>
    <row r="17" customFormat="false" ht="42" hidden="false" customHeight="true" outlineLevel="0" collapsed="false">
      <c r="A17" s="8" t="n">
        <v>13</v>
      </c>
      <c r="B17" s="9" t="s">
        <v>157</v>
      </c>
      <c r="C17" s="9" t="s">
        <v>158</v>
      </c>
      <c r="D17" s="9" t="s">
        <v>159</v>
      </c>
      <c r="E17" s="9" t="s">
        <v>160</v>
      </c>
      <c r="F17" s="8" t="s">
        <v>37</v>
      </c>
      <c r="G17" s="10" t="n">
        <v>0.05</v>
      </c>
      <c r="H17" s="8"/>
      <c r="I17" s="8"/>
      <c r="J17" s="10" t="n">
        <f aca="false">IFERROR(G17*I17/5,0)</f>
        <v>0</v>
      </c>
      <c r="K17" s="9" t="s">
        <v>161</v>
      </c>
    </row>
    <row r="18" customFormat="false" ht="42" hidden="false" customHeight="true" outlineLevel="0" collapsed="false">
      <c r="A18" s="11" t="n">
        <v>14</v>
      </c>
      <c r="B18" s="12" t="s">
        <v>157</v>
      </c>
      <c r="C18" s="12" t="s">
        <v>162</v>
      </c>
      <c r="D18" s="12" t="s">
        <v>163</v>
      </c>
      <c r="E18" s="12" t="s">
        <v>164</v>
      </c>
      <c r="F18" s="11" t="s">
        <v>47</v>
      </c>
      <c r="G18" s="13" t="n">
        <v>0.05</v>
      </c>
      <c r="H18" s="11"/>
      <c r="I18" s="11"/>
      <c r="J18" s="13" t="n">
        <f aca="false">IFERROR(G18*I18/5,0)</f>
        <v>0</v>
      </c>
      <c r="K18" s="12" t="s">
        <v>165</v>
      </c>
    </row>
    <row r="19" customFormat="false" ht="42" hidden="false" customHeight="true" outlineLevel="0" collapsed="false">
      <c r="A19" s="8" t="n">
        <v>15</v>
      </c>
      <c r="B19" s="9" t="s">
        <v>157</v>
      </c>
      <c r="C19" s="9" t="s">
        <v>166</v>
      </c>
      <c r="D19" s="9" t="s">
        <v>167</v>
      </c>
      <c r="E19" s="9" t="s">
        <v>168</v>
      </c>
      <c r="F19" s="8" t="s">
        <v>47</v>
      </c>
      <c r="G19" s="10" t="n">
        <v>0.05</v>
      </c>
      <c r="H19" s="8"/>
      <c r="I19" s="8"/>
      <c r="J19" s="10" t="n">
        <f aca="false">IFERROR(G19*I19/5,0)</f>
        <v>0</v>
      </c>
      <c r="K19" s="9" t="s">
        <v>169</v>
      </c>
    </row>
    <row r="20" customFormat="false" ht="42" hidden="false" customHeight="true" outlineLevel="0" collapsed="false">
      <c r="A20" s="11" t="n">
        <v>16</v>
      </c>
      <c r="B20" s="12" t="s">
        <v>170</v>
      </c>
      <c r="C20" s="12" t="s">
        <v>171</v>
      </c>
      <c r="D20" s="12" t="s">
        <v>172</v>
      </c>
      <c r="E20" s="12" t="s">
        <v>173</v>
      </c>
      <c r="F20" s="11" t="s">
        <v>109</v>
      </c>
      <c r="G20" s="13" t="n">
        <v>0.05</v>
      </c>
      <c r="H20" s="11"/>
      <c r="I20" s="11"/>
      <c r="J20" s="13" t="n">
        <f aca="false">IFERROR(G20*I20/5,0)</f>
        <v>0</v>
      </c>
      <c r="K20" s="12" t="s">
        <v>174</v>
      </c>
    </row>
    <row r="21" customFormat="false" ht="42" hidden="false" customHeight="true" outlineLevel="0" collapsed="false">
      <c r="A21" s="8" t="n">
        <v>17</v>
      </c>
      <c r="B21" s="9" t="s">
        <v>170</v>
      </c>
      <c r="C21" s="9" t="s">
        <v>175</v>
      </c>
      <c r="D21" s="9" t="s">
        <v>176</v>
      </c>
      <c r="E21" s="9" t="s">
        <v>177</v>
      </c>
      <c r="F21" s="8" t="s">
        <v>82</v>
      </c>
      <c r="G21" s="10" t="n">
        <v>0.05</v>
      </c>
      <c r="H21" s="8"/>
      <c r="I21" s="8"/>
      <c r="J21" s="10" t="n">
        <f aca="false">IFERROR(G21*I21/5,0)</f>
        <v>0</v>
      </c>
      <c r="K21" s="9" t="s">
        <v>178</v>
      </c>
    </row>
    <row r="22" customFormat="false" ht="15" hidden="false" customHeight="false" outlineLevel="0" collapsed="false">
      <c r="A22" s="14"/>
      <c r="B22" s="14" t="s">
        <v>93</v>
      </c>
      <c r="C22" s="14"/>
      <c r="D22" s="14"/>
      <c r="E22" s="14"/>
      <c r="F22" s="14"/>
      <c r="G22" s="15" t="n">
        <f aca="false">SUM(G5:G21)</f>
        <v>1</v>
      </c>
      <c r="H22" s="14"/>
      <c r="I22" s="14"/>
      <c r="J22" s="15" t="n">
        <f aca="false">SUM(J5:J21)</f>
        <v>0</v>
      </c>
      <c r="K22" s="14"/>
    </row>
    <row r="24" customFormat="false" ht="15" hidden="false" customHeight="false" outlineLevel="0" collapsed="false">
      <c r="B24" s="3" t="s">
        <v>94</v>
      </c>
    </row>
    <row r="25" customFormat="false" ht="15" hidden="false" customHeight="false" outlineLevel="0" collapsed="false">
      <c r="B25" s="16" t="s">
        <v>80</v>
      </c>
      <c r="C25" s="16" t="s">
        <v>95</v>
      </c>
    </row>
    <row r="26" customFormat="false" ht="15" hidden="false" customHeight="false" outlineLevel="0" collapsed="false">
      <c r="B26" s="16" t="s">
        <v>96</v>
      </c>
      <c r="C26" s="16" t="s">
        <v>97</v>
      </c>
    </row>
    <row r="27" customFormat="false" ht="15" hidden="false" customHeight="false" outlineLevel="0" collapsed="false">
      <c r="B27" s="16" t="s">
        <v>98</v>
      </c>
      <c r="C27" s="16" t="s">
        <v>99</v>
      </c>
    </row>
    <row r="28" customFormat="false" ht="15" hidden="false" customHeight="false" outlineLevel="0" collapsed="false">
      <c r="B28" s="16" t="s">
        <v>100</v>
      </c>
      <c r="C28" s="16" t="s">
        <v>101</v>
      </c>
    </row>
    <row r="29" customFormat="false" ht="15" hidden="false" customHeight="false" outlineLevel="0" collapsed="false">
      <c r="B29" s="16" t="s">
        <v>102</v>
      </c>
      <c r="C29" s="16" t="s">
        <v>103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5" t="s">
        <v>13</v>
      </c>
      <c r="B1" s="5"/>
      <c r="C1" s="5"/>
      <c r="D1" s="5"/>
    </row>
    <row r="3" customFormat="false" ht="30" hidden="false" customHeight="true" outlineLevel="0" collapsed="false">
      <c r="A3" s="7" t="s">
        <v>179</v>
      </c>
      <c r="B3" s="7" t="s">
        <v>180</v>
      </c>
      <c r="C3" s="7" t="s">
        <v>181</v>
      </c>
      <c r="D3" s="7" t="s">
        <v>182</v>
      </c>
    </row>
    <row r="4" customFormat="false" ht="30" hidden="false" customHeight="true" outlineLevel="0" collapsed="false">
      <c r="A4" s="9" t="n">
        <v>0</v>
      </c>
      <c r="B4" s="9" t="s">
        <v>183</v>
      </c>
      <c r="C4" s="9" t="s">
        <v>184</v>
      </c>
      <c r="D4" s="9" t="s">
        <v>185</v>
      </c>
    </row>
    <row r="5" customFormat="false" ht="30" hidden="false" customHeight="true" outlineLevel="0" collapsed="false">
      <c r="A5" s="12" t="n">
        <v>1</v>
      </c>
      <c r="B5" s="12" t="s">
        <v>186</v>
      </c>
      <c r="C5" s="12" t="s">
        <v>187</v>
      </c>
      <c r="D5" s="12" t="s">
        <v>188</v>
      </c>
    </row>
    <row r="6" customFormat="false" ht="30" hidden="false" customHeight="true" outlineLevel="0" collapsed="false">
      <c r="A6" s="9" t="n">
        <v>2</v>
      </c>
      <c r="B6" s="9" t="s">
        <v>189</v>
      </c>
      <c r="C6" s="9" t="s">
        <v>190</v>
      </c>
      <c r="D6" s="9" t="s">
        <v>191</v>
      </c>
    </row>
    <row r="7" customFormat="false" ht="30" hidden="false" customHeight="true" outlineLevel="0" collapsed="false">
      <c r="A7" s="12" t="n">
        <v>3</v>
      </c>
      <c r="B7" s="12" t="s">
        <v>192</v>
      </c>
      <c r="C7" s="12" t="s">
        <v>193</v>
      </c>
      <c r="D7" s="12" t="s">
        <v>194</v>
      </c>
    </row>
    <row r="8" customFormat="false" ht="30" hidden="false" customHeight="true" outlineLevel="0" collapsed="false">
      <c r="A8" s="9" t="n">
        <v>4</v>
      </c>
      <c r="B8" s="9" t="s">
        <v>195</v>
      </c>
      <c r="C8" s="9" t="s">
        <v>196</v>
      </c>
      <c r="D8" s="9" t="s">
        <v>197</v>
      </c>
    </row>
    <row r="9" customFormat="false" ht="30" hidden="false" customHeight="true" outlineLevel="0" collapsed="false">
      <c r="A9" s="12" t="n">
        <v>5</v>
      </c>
      <c r="B9" s="12" t="s">
        <v>95</v>
      </c>
      <c r="C9" s="12" t="s">
        <v>198</v>
      </c>
      <c r="D9" s="12" t="s">
        <v>199</v>
      </c>
    </row>
    <row r="12" customFormat="false" ht="15" hidden="false" customHeight="false" outlineLevel="0" collapsed="false">
      <c r="A12" s="3" t="s">
        <v>200</v>
      </c>
    </row>
    <row r="13" customFormat="false" ht="35.05" hidden="false" customHeight="false" outlineLevel="0" collapsed="false">
      <c r="A13" s="7" t="s">
        <v>201</v>
      </c>
      <c r="B13" s="7" t="s">
        <v>202</v>
      </c>
    </row>
    <row r="14" customFormat="false" ht="15" hidden="false" customHeight="false" outlineLevel="0" collapsed="false">
      <c r="A14" s="8" t="s">
        <v>80</v>
      </c>
      <c r="B14" s="8" t="s">
        <v>95</v>
      </c>
    </row>
    <row r="15" customFormat="false" ht="23.85" hidden="false" customHeight="false" outlineLevel="0" collapsed="false">
      <c r="A15" s="8" t="s">
        <v>96</v>
      </c>
      <c r="B15" s="8" t="s">
        <v>97</v>
      </c>
    </row>
    <row r="16" customFormat="false" ht="15" hidden="false" customHeight="false" outlineLevel="0" collapsed="false">
      <c r="A16" s="8" t="s">
        <v>98</v>
      </c>
      <c r="B16" s="8" t="s">
        <v>99</v>
      </c>
    </row>
    <row r="17" customFormat="false" ht="15" hidden="false" customHeight="false" outlineLevel="0" collapsed="false">
      <c r="A17" s="8" t="s">
        <v>100</v>
      </c>
      <c r="B17" s="8" t="s">
        <v>101</v>
      </c>
    </row>
    <row r="18" customFormat="false" ht="15" hidden="false" customHeight="false" outlineLevel="0" collapsed="false">
      <c r="A18" s="8" t="s">
        <v>102</v>
      </c>
      <c r="B18" s="8" t="s">
        <v>103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2026-05-18T12:17:09Z</dcterms:created>
  <dc:creator>openpyxl</dc:creator>
  <dc:description/>
  <dc:language>en-US</dc:language>
  <cp:lastModifiedBy/>
  <dcterms:modified xsi:type="dcterms:W3CDTF">2026-05-18T12:17:09Z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